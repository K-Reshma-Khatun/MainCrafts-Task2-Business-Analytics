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SHMA\Downloads\"/>
    </mc:Choice>
  </mc:AlternateContent>
  <xr:revisionPtr revIDLastSave="0" documentId="8_{05903031-371E-4E89-AF84-DE92351E1C5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1" r:id="rId1"/>
    <sheet name="Trend Analysis " sheetId="2" r:id="rId2"/>
    <sheet name="KPI Summary" sheetId="3" r:id="rId3"/>
    <sheet name="Advanced analysis " sheetId="5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</calcChain>
</file>

<file path=xl/sharedStrings.xml><?xml version="1.0" encoding="utf-8"?>
<sst xmlns="http://schemas.openxmlformats.org/spreadsheetml/2006/main" count="1051" uniqueCount="293">
  <si>
    <t>Order_ID</t>
  </si>
  <si>
    <t>Order_Date</t>
  </si>
  <si>
    <t>Region</t>
  </si>
  <si>
    <t>Product</t>
  </si>
  <si>
    <t>Category</t>
  </si>
  <si>
    <t>Profit</t>
  </si>
  <si>
    <t>Quantity</t>
  </si>
  <si>
    <t>ORD0001</t>
  </si>
  <si>
    <t>East</t>
  </si>
  <si>
    <t>Notebook</t>
  </si>
  <si>
    <t>Stationery</t>
  </si>
  <si>
    <t>ORD0002</t>
  </si>
  <si>
    <t>North</t>
  </si>
  <si>
    <t>Desk</t>
  </si>
  <si>
    <t>Furniture</t>
  </si>
  <si>
    <t>ORD0003</t>
  </si>
  <si>
    <t>West</t>
  </si>
  <si>
    <t>Laptop</t>
  </si>
  <si>
    <t>Electronics</t>
  </si>
  <si>
    <t>ORD0004</t>
  </si>
  <si>
    <t>Office Chair</t>
  </si>
  <si>
    <t>ORD0005</t>
  </si>
  <si>
    <t>Pen Set</t>
  </si>
  <si>
    <t>ORD0006</t>
  </si>
  <si>
    <t>South</t>
  </si>
  <si>
    <t>ORD0007</t>
  </si>
  <si>
    <t>ORD0008</t>
  </si>
  <si>
    <t>ORD0009</t>
  </si>
  <si>
    <t>ORD0010</t>
  </si>
  <si>
    <t>Printer</t>
  </si>
  <si>
    <t>ORD0011</t>
  </si>
  <si>
    <t>ORD0012</t>
  </si>
  <si>
    <t>Cabinet</t>
  </si>
  <si>
    <t>ORD0013</t>
  </si>
  <si>
    <t>ORD0014</t>
  </si>
  <si>
    <t>ORD0015</t>
  </si>
  <si>
    <t>Monitor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</si>
  <si>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</si>
  <si>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</si>
  <si>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</si>
  <si>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</si>
  <si>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</si>
  <si>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</si>
  <si>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</si>
  <si>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</si>
  <si>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</si>
  <si>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</si>
  <si>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</si>
  <si>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</si>
  <si>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</si>
  <si>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</si>
  <si>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</si>
  <si>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</si>
  <si>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</si>
  <si>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</si>
  <si>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</si>
  <si>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</si>
  <si>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</si>
  <si>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</si>
  <si>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</si>
  <si>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</si>
  <si>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</si>
  <si>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</si>
  <si>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</si>
  <si>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</si>
  <si>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</si>
  <si>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</si>
  <si>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</si>
  <si>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</si>
  <si>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</si>
  <si>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</si>
  <si>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</si>
  <si>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</si>
  <si>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</si>
  <si>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</si>
  <si>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</si>
  <si>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</si>
  <si>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</si>
  <si>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</si>
  <si>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</si>
  <si>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</si>
  <si>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</si>
  <si>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</si>
  <si>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</si>
  <si>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</si>
  <si>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</si>
  <si>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</si>
  <si>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</si>
  <si>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</si>
  <si>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</si>
  <si>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</si>
  <si>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</si>
  <si>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</si>
  <si>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</si>
  <si>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</si>
  <si>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</si>
  <si>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</si>
  <si>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</si>
  <si>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</si>
  <si>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</si>
  <si>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</si>
  <si>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</si>
  <si>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</si>
  <si>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</si>
  <si>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</si>
  <si>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</si>
  <si>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</si>
  <si>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</si>
  <si>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</si>
  <si>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</si>
  <si>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</si>
  <si>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</si>
  <si>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</si>
  <si>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</si>
  <si>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</si>
  <si>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</si>
  <si>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</si>
  <si>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</si>
  <si>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</si>
  <si>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</si>
  <si>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</si>
  <si>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</si>
  <si>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</si>
  <si>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</si>
  <si>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</si>
  <si>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</si>
  <si>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</si>
  <si>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</si>
  <si>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</si>
  <si>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</si>
  <si>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</si>
  <si>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</si>
  <si>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</si>
  <si>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</si>
  <si>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</si>
  <si>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</si>
  <si>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</si>
  <si>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</si>
  <si>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</si>
  <si>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</si>
  <si>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</si>
  <si>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</si>
  <si>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</si>
  <si>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</si>
  <si>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</si>
  <si>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</si>
  <si>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</si>
  <si>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</si>
  <si>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</si>
  <si>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</si>
  <si>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</si>
  <si>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</si>
  <si>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</si>
  <si>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</si>
  <si>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</si>
  <si>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</si>
  <si>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</si>
  <si>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</si>
  <si>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</si>
  <si>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</si>
  <si>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</si>
  <si>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</si>
  <si>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</si>
  <si>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</si>
  <si>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</si>
  <si>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</si>
  <si>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</si>
  <si>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</si>
  <si>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</si>
  <si>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</si>
  <si>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</si>
  <si>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</si>
  <si>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</si>
  <si>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</si>
  <si>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</si>
  <si>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</si>
  <si>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</si>
  <si>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</si>
  <si>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</si>
  <si>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</si>
  <si>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</si>
  <si>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</si>
  <si>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</si>
  <si>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</si>
  <si>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</si>
  <si>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</si>
  <si>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</si>
  <si>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</si>
  <si>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</si>
  <si>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</si>
  <si>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</si>
  <si>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</si>
  <si>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</si>
  <si>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</si>
  <si>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</si>
  <si>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</si>
  <si>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</si>
  <si>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</si>
  <si>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</si>
  <si>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</si>
  <si>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</si>
  <si>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</si>
  <si>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</si>
  <si>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</si>
  <si>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</si>
  <si>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</si>
  <si>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</si>
  <si>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</si>
  <si>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</si>
  <si>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</si>
  <si>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</si>
  <si>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</si>
  <si>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</si>
  <si>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</si>
  <si>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</si>
  <si>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</si>
  <si>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</si>
  <si>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</si>
  <si>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</si>
  <si>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</si>
  <si>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</si>
  <si>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</si>
  <si>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</si>
  <si>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</si>
  <si>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</si>
  <si>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</si>
  <si>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</si>
  <si>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</si>
  <si>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</si>
  <si>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</si>
  <si>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</si>
  <si>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</si>
  <si>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</si>
  <si>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</si>
  <si>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</si>
  <si>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</si>
  <si>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</si>
  <si>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</si>
  <si>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</si>
  <si>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</si>
  <si>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</si>
  <si>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</si>
  <si>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</si>
  <si>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</si>
  <si>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</si>
  <si>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</si>
  <si>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</si>
  <si>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</si>
  <si>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</si>
  <si>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</si>
  <si>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</si>
  <si>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</si>
  <si>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</si>
  <si>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</si>
  <si>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</si>
  <si>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</si>
  <si>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</si>
  <si>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</si>
  <si>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</si>
  <si>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</si>
  <si>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</si>
  <si>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</si>
  <si>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</si>
  <si>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</si>
  <si>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</si>
  <si>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</si>
  <si>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</si>
  <si>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</si>
  <si>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</si>
  <si>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</si>
  <si>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</si>
  <si>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</si>
  <si>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Total Sales</t>
  </si>
  <si>
    <t>Grand Total</t>
  </si>
  <si>
    <t>Jan</t>
  </si>
  <si>
    <t>Feb</t>
  </si>
  <si>
    <t>Mar</t>
  </si>
  <si>
    <t>Apr</t>
  </si>
  <si>
    <t>May</t>
  </si>
  <si>
    <t>Jun</t>
  </si>
  <si>
    <t>Sales</t>
  </si>
  <si>
    <t>Month</t>
  </si>
  <si>
    <t xml:space="preserve">Product </t>
  </si>
  <si>
    <t>Region-wise Sales Performance</t>
  </si>
  <si>
    <t>Product-wise Sales Performance</t>
  </si>
  <si>
    <t>Monthly Sales Trend</t>
  </si>
  <si>
    <t>Profit margin</t>
  </si>
  <si>
    <t xml:space="preserve">Sales Category </t>
  </si>
  <si>
    <t>Sum of Total Sales</t>
  </si>
  <si>
    <t>Row Labels</t>
  </si>
  <si>
    <t>Sum of Profit</t>
  </si>
  <si>
    <t>Average of Profit margin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</si>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</sst>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0" fillId="0" borderId="1" xfId="0" applyBorder="1"/>
    <xf numFmtId="10" fontId="0" fillId="0" borderId="1" xfId="0" applyNumberFormat="1" applyBorder="1"/>
  </cellXfs>
  <cellStyles count="2">
    <cellStyle name="Normal" xfId="0" builtinId="0"/>
    <cellStyle name="Percent" xfId="1" builtinId="5"/>
  </cellStyles>
  <dxfs count="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[Task2_Excel Analysis.xlsx]Trend Analysis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 WISE SALES TREND</a:t>
            </a:r>
          </a:p>
        </c:rich>
      </c:tx>
      <c:layout>
        <c:manualLayout>
          <c:xMode val="edge"/>
          <c:yMode val="edge"/>
          <c:x val="0.28972222222222221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 '!$I$3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'Trend Analysis '!$H$4:$H$10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'Trend Analysis '!$I$4:$I$10</c:f>
              <c:numCache>
                <c:formatCode>General</c:formatCode>
                <c:ptCount val="6"/>
                <c:pt idx="0">
                  <c:v>1133609.5699999998</c:v>
                </c:pt>
                <c:pt idx="1">
                  <c:v>1045865.8599999999</c:v>
                </c:pt>
                <c:pt idx="2">
                  <c:v>1548560.27</c:v>
                </c:pt>
                <c:pt idx="3">
                  <c:v>1341948.3299999998</c:v>
                </c:pt>
                <c:pt idx="4">
                  <c:v>1406257.8800000004</c:v>
                </c:pt>
                <c:pt idx="5">
                  <c:v>694721.07000000007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9-4BF9-867F-10AE62FC3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242000"/>
        <c:axId val="1291244880"/>
      </c:lineChart>
      <c:catAx>
        <c:axId val="129124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41472790901137363"/>
              <c:y val="0.81025663458734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44880"/>
        <c:crosses val="autoZero"/>
        <c:auto val="1"/>
        <c:lblAlgn val="ctr"/>
        <c:lblOffset val="100"/>
        <c:noMultiLvlLbl val="0"/>
      </c:catAx>
      <c:valAx>
        <c:axId val="12912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SALES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293197725284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4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[Task2_Excel Analysis.xlsx]Trend Analysis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Top Products by Sales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 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'Trend Analysis '!$E$4:$E$12</c:f>
              <c:strCache>
                <c:ptCount val="8"/>
                <c:pt idx="0">
                  <c:v>Office Chair</c:v>
                </c:pt>
                <c:pt idx="1">
                  <c:v>Notebook</c:v>
                </c:pt>
                <c:pt idx="2">
                  <c:v>Desk</c:v>
                </c:pt>
                <c:pt idx="3">
                  <c:v>Pen Set</c:v>
                </c:pt>
                <c:pt idx="4">
                  <c:v>Cabinet</c:v>
                </c:pt>
                <c:pt idx="5">
                  <c:v>Monitor</c:v>
                </c:pt>
                <c:pt idx="6">
                  <c:v>Laptop</c:v>
                </c:pt>
                <c:pt idx="7">
                  <c:v>Printer</c:v>
                </c:pt>
              </c:strCache>
            </c:strRef>
          </c:cat>
          <c:val>
            <c:numRef>
              <c:f>'Trend Analysis '!$F$4:$F$12</c:f>
              <c:numCache>
                <c:formatCode>General</c:formatCode>
                <c:ptCount val="8"/>
                <c:pt idx="0">
                  <c:v>1095607.67</c:v>
                </c:pt>
                <c:pt idx="1">
                  <c:v>1026313.9299999999</c:v>
                </c:pt>
                <c:pt idx="2">
                  <c:v>992427.57</c:v>
                </c:pt>
                <c:pt idx="3">
                  <c:v>986196.02</c:v>
                </c:pt>
                <c:pt idx="4">
                  <c:v>896198.49999999988</c:v>
                </c:pt>
                <c:pt idx="5">
                  <c:v>776078.33</c:v>
                </c:pt>
                <c:pt idx="6">
                  <c:v>701419.20000000007</c:v>
                </c:pt>
                <c:pt idx="7">
                  <c:v>696721.76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A-436E-B19D-C84F14EEB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006991"/>
        <c:axId val="1452016591"/>
      </c:barChart>
      <c:catAx>
        <c:axId val="1452006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16591"/>
        <c:crosses val="autoZero"/>
        <c:auto val="1"/>
        <c:lblAlgn val="ctr"/>
        <c:lblOffset val="100"/>
        <c:noMultiLvlLbl val="0"/>
      </c:catAx>
      <c:valAx>
        <c:axId val="145201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0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[Task2_Excel Analysis.xlsx]Advanced analysis 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glow rad="12700">
              <a:schemeClr val="bg1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'Advanced analysis 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glow rad="12700">
                <a:schemeClr val="bg1"/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'Advanced analysis '!$A$3:$A$7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'Advanced analysis '!$B$3:$B$7</c:f>
              <c:numCache>
                <c:formatCode>General</c:formatCode>
                <c:ptCount val="4"/>
                <c:pt idx="0">
                  <c:v>250614.93</c:v>
                </c:pt>
                <c:pt idx="1">
                  <c:v>269735.19000000006</c:v>
                </c:pt>
                <c:pt idx="2">
                  <c:v>302486.83000000007</c:v>
                </c:pt>
                <c:pt idx="3">
                  <c:v>309476.13000000006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B-45CD-A5AA-2A85B6DA61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7037983"/>
        <c:axId val="1413691391"/>
      </c:barChart>
      <c:catAx>
        <c:axId val="1087037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Region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02978273549139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691391"/>
        <c:crosses val="autoZero"/>
        <c:auto val="1"/>
        <c:lblAlgn val="ctr"/>
        <c:lblOffset val="100"/>
        <c:noMultiLvlLbl val="0"/>
      </c:catAx>
      <c:valAx>
        <c:axId val="141369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Profit</a:t>
                </a:r>
              </a:p>
            </c:rich>
          </c:tx>
          <c:layout>
            <c:manualLayout>
              <c:xMode val="edge"/>
              <c:yMode val="edge"/>
              <c:x val="0.50483223972003499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03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2</xdr:row>
      <xdr:rowOff>118110</xdr:rowOff>
    </xdr:from>
    <xdr:to>
      <xdr:col>17</xdr:col>
      <xdr:colOff>510540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1B5A3-975A-9A27-D723-DC98A5585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13</xdr:row>
      <xdr:rowOff>0</xdr:rowOff>
    </xdr:from>
    <xdr:to>
      <xdr:col>8</xdr:col>
      <xdr:colOff>807720</xdr:colOff>
      <xdr:row>27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8A196B-0693-BE5E-C749-32A3CF54E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678180</xdr:colOff>
      <xdr:row>0</xdr:row>
      <xdr:rowOff>144780</xdr:rowOff>
    </xdr:from>
    <xdr:to>
      <xdr:col>8</xdr:col>
      <xdr:colOff>388620</xdr:colOff>
      <xdr:row>16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DDB16-C886-0E0D-8548-977925435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SHMA" refreshedDate="46176.433243981483" createdVersion="8" refreshedVersion="8" minRefreshableVersion="3" recordCount="250" xr:uid="{A8DD1520-2A45-42C7-9E82-94FEA8B5111D}">
  <cacheSource type="worksheet">
    <worksheetSource ref="A1:I251" sheet="Data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7-01T00:00:00" count="138">
        <d v="2026-05-15T00:00:00"/>
        <d v="2026-05-19T00:00:00"/>
        <d v="2026-01-28T00:00:00"/>
        <d v="2026-05-06T00:00:00"/>
        <d v="2026-02-24T00:00:00"/>
        <d v="2026-04-20T00:00:00"/>
        <d v="2026-06-09T00:00:00"/>
        <d v="2026-02-10T00:00:00"/>
        <d v="2026-03-29T00:00:00"/>
        <d v="2026-02-21T00:00:00"/>
        <d v="2026-06-26T00:00:00"/>
        <d v="2026-03-13T00:00:00"/>
        <d v="2026-01-17T00:00:00"/>
        <d v="2026-03-17T00:00:00"/>
        <d v="2026-04-30T00:00:00"/>
        <d v="2026-05-03T00:00:00"/>
        <d v="2026-05-04T00:00:00"/>
        <d v="2026-01-01T00:00:00"/>
        <d v="2026-05-13T00:00:00"/>
        <d v="2026-03-25T00:00:00"/>
        <d v="2026-01-13T00:00:00"/>
        <d v="2026-01-14T00:00:00"/>
        <d v="2026-02-13T00:00:00"/>
        <d v="2026-06-18T00:00:00"/>
        <d v="2026-03-19T00:00:00"/>
        <d v="2026-05-23T00:00:00"/>
        <d v="2026-04-27T00:00:00"/>
        <d v="2026-06-05T00:00:00"/>
        <d v="2026-06-14T00:00:00"/>
        <d v="2026-06-13T00:00:00"/>
        <d v="2026-03-06T00:00:00"/>
        <d v="2026-02-02T00:00:00"/>
        <d v="2026-06-30T00:00:00"/>
        <d v="2026-02-08T00:00:00"/>
        <d v="2026-02-26T00:00:00"/>
        <d v="2026-05-10T00:00:00"/>
        <d v="2026-06-03T00:00:00"/>
        <d v="2026-01-11T00:00:00"/>
        <d v="2026-01-06T00:00:00"/>
        <d v="2026-04-22T00:00:00"/>
        <d v="2026-04-10T00:00:00"/>
        <d v="2026-04-29T00:00:00"/>
        <d v="2026-06-22T00:00:00"/>
        <d v="2026-03-28T00:00:00"/>
        <d v="2026-05-25T00:00:00"/>
        <d v="2026-02-17T00:00:00"/>
        <d v="2026-01-27T00:00:00"/>
        <d v="2026-05-05T00:00:00"/>
        <d v="2026-01-21T00:00:00"/>
        <d v="2026-02-18T00:00:00"/>
        <d v="2026-04-18T00:00:00"/>
        <d v="2026-03-16T00:00:00"/>
        <d v="2026-06-11T00:00:00"/>
        <d v="2026-06-19T00:00:00"/>
        <d v="2026-03-30T00:00:00"/>
        <d v="2026-03-18T00:00:00"/>
        <d v="2026-01-08T00:00:00"/>
        <d v="2026-04-06T00:00:00"/>
        <d v="2026-03-09T00:00:00"/>
        <d v="2026-06-21T00:00:00"/>
        <d v="2026-02-03T00:00:00"/>
        <d v="2026-06-01T00:00:00"/>
        <d v="2026-02-05T00:00:00"/>
        <d v="2026-04-13T00:00:00"/>
        <d v="2026-05-30T00:00:00"/>
        <d v="2026-01-18T00:00:00"/>
        <d v="2026-05-17T00:00:00"/>
        <d v="2026-02-22T00:00:00"/>
        <d v="2026-05-09T00:00:00"/>
        <d v="2026-05-07T00:00:00"/>
        <d v="2026-03-02T00:00:00"/>
        <d v="2026-04-25T00:00:00"/>
        <d v="2026-03-04T00:00:00"/>
        <d v="2026-03-12T00:00:00"/>
        <d v="2026-03-24T00:00:00"/>
        <d v="2026-04-08T00:00:00"/>
        <d v="2026-01-07T00:00:00"/>
        <d v="2026-04-04T00:00:00"/>
        <d v="2026-04-07T00:00:00"/>
        <d v="2026-05-24T00:00:00"/>
        <d v="2026-03-10T00:00:00"/>
        <d v="2026-03-31T00:00:00"/>
        <d v="2026-01-02T00:00:00"/>
        <d v="2026-02-15T00:00:00"/>
        <d v="2026-02-04T00:00:00"/>
        <d v="2026-01-31T00:00:00"/>
        <d v="2026-01-24T00:00:00"/>
        <d v="2026-04-02T00:00:00"/>
        <d v="2026-04-05T00:00:00"/>
        <d v="2026-02-23T00:00:00"/>
        <d v="2026-02-27T00:00:00"/>
        <d v="2026-05-02T00:00:00"/>
        <d v="2026-04-21T00:00:00"/>
        <d v="2026-06-23T00:00:00"/>
        <d v="2026-03-26T00:00:00"/>
        <d v="2026-04-09T00:00:00"/>
        <d v="2026-03-14T00:00:00"/>
        <d v="2026-02-11T00:00:00"/>
        <d v="2026-06-16T00:00:00"/>
        <d v="2026-03-20T00:00:00"/>
        <d v="2026-04-24T00:00:00"/>
        <d v="2026-05-28T00:00:00"/>
        <d v="2026-01-30T00:00:00"/>
        <d v="2026-06-07T00:00:00"/>
        <d v="2026-02-19T00:00:00"/>
        <d v="2026-01-05T00:00:00"/>
        <d v="2026-01-12T00:00:00"/>
        <d v="2026-03-01T00:00:00"/>
        <d v="2026-06-20T00:00:00"/>
        <d v="2026-05-29T00:00:00"/>
        <d v="2026-06-28T00:00:00"/>
        <d v="2026-05-22T00:00:00"/>
        <d v="2026-03-08T00:00:00"/>
        <d v="2026-06-25T00:00:00"/>
        <d v="2026-04-14T00:00:00"/>
        <d v="2026-04-03T00:00:00"/>
        <d v="2026-05-21T00:00:00"/>
        <d v="2026-05-16T00:00:00"/>
        <d v="2026-04-26T00:00:00"/>
        <d v="2026-03-07T00:00:00"/>
        <d v="2026-04-16T00:00:00"/>
        <d v="2026-01-20T00:00:00"/>
        <d v="2026-03-11T00:00:00"/>
        <d v="2026-05-18T00:00:00"/>
        <d v="2026-01-23T00:00:00"/>
        <d v="2026-05-31T00:00:00"/>
        <d v="2026-05-20T00:00:00"/>
        <d v="2026-04-19T00:00:00"/>
        <d v="2026-04-28T00:00:00"/>
        <d v="2026-01-19T00:00:00"/>
        <d v="2026-04-12T00:00:00"/>
        <d v="2026-03-05T00:00:00"/>
        <d v="2026-03-15T00:00:00"/>
        <d v="2026-04-23T00:00:00"/>
        <d v="2026-02-28T00:00:00"/>
        <d v="2026-01-09T00:00:00"/>
        <d v="2026-02-07T00:00:00"/>
        <d v="2026-06-17T00:00:00"/>
      </sharedItems>
      <fieldGroup par="10"/>
    </cacheField>
    <cacheField name="Region" numFmtId="49">
      <sharedItems count="4">
        <s v="East"/>
        <s v="North"/>
        <s v="West"/>
        <s v="South"/>
      </sharedItems>
    </cacheField>
    <cacheField name="Product" numFmtId="0">
      <sharedItems count="8">
        <s v="Notebook"/>
        <s v="Desk"/>
        <s v="Laptop"/>
        <s v="Office Chair"/>
        <s v="Pen Set"/>
        <s v="Printer"/>
        <s v="Cabinet"/>
        <s v="Monito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Total Sales" numFmtId="0">
      <sharedItems containsSemiMixedTypes="0" containsString="0" containsNumber="1" minValue="828.72" maxValue="59994.34" count="250">
        <n v="48656.49"/>
        <n v="49364.5"/>
        <n v="56814.46"/>
        <n v="31591.55"/>
        <n v="22168.67"/>
        <n v="47135.54"/>
        <n v="3249.37"/>
        <n v="9522.42"/>
        <n v="5128.32"/>
        <n v="6817.73"/>
        <n v="4205.45"/>
        <n v="25951.67"/>
        <n v="29808.98"/>
        <n v="47542.45"/>
        <n v="37998.730000000003"/>
        <n v="54556.31"/>
        <n v="24923.31"/>
        <n v="30624.46"/>
        <n v="7616.71"/>
        <n v="56334.67"/>
        <n v="31038.52"/>
        <n v="14604.99"/>
        <n v="23668.15"/>
        <n v="41755.01"/>
        <n v="11023.57"/>
        <n v="42936.1"/>
        <n v="41467.33"/>
        <n v="35739.519999999997"/>
        <n v="1210.07"/>
        <n v="31927.57"/>
        <n v="20791.34"/>
        <n v="36442.080000000002"/>
        <n v="12749.5"/>
        <n v="55615.39"/>
        <n v="38091.5"/>
        <n v="21590.49"/>
        <n v="48413.07"/>
        <n v="42430.05"/>
        <n v="47481.71"/>
        <n v="56295.93"/>
        <n v="59994.34"/>
        <n v="33650.639999999999"/>
        <n v="11846.6"/>
        <n v="22524.17"/>
        <n v="29368.51"/>
        <n v="35020.910000000003"/>
        <n v="4178.78"/>
        <n v="20540"/>
        <n v="33907.42"/>
        <n v="25779.85"/>
        <n v="15484.4"/>
        <n v="26724.05"/>
        <n v="16479.78"/>
        <n v="14683.64"/>
        <n v="29816.18"/>
        <n v="14904.41"/>
        <n v="4682.07"/>
        <n v="52405.57"/>
        <n v="9283.8799999999992"/>
        <n v="58017.19"/>
        <n v="48040.54"/>
        <n v="1770.46"/>
        <n v="1530.21"/>
        <n v="28055.62"/>
        <n v="52549.34"/>
        <n v="10729.47"/>
        <n v="39253.67"/>
        <n v="24488.13"/>
        <n v="22378.29"/>
        <n v="1369.59"/>
        <n v="10359.24"/>
        <n v="20648.87"/>
        <n v="26182.43"/>
        <n v="3548.82"/>
        <n v="7449.35"/>
        <n v="21709.85"/>
        <n v="40177.699999999997"/>
        <n v="32417.45"/>
        <n v="24504.94"/>
        <n v="56843.98"/>
        <n v="40213.980000000003"/>
        <n v="19484.64"/>
        <n v="26079.66"/>
        <n v="34292.46"/>
        <n v="14025.34"/>
        <n v="46528.3"/>
        <n v="54305.06"/>
        <n v="39846.28"/>
        <n v="35676.39"/>
        <n v="16999.11"/>
        <n v="58922.11"/>
        <n v="4670.68"/>
        <n v="27566.27"/>
        <n v="47434.32"/>
        <n v="48764.86"/>
        <n v="15806"/>
        <n v="19713.560000000001"/>
        <n v="55117.25"/>
        <n v="10190.06"/>
        <n v="20849.599999999999"/>
        <n v="50993.31"/>
        <n v="9833.73"/>
        <n v="21186.86"/>
        <n v="34114.35"/>
        <n v="41469.51"/>
        <n v="6376.16"/>
        <n v="12743.84"/>
        <n v="49256.12"/>
        <n v="4761.8999999999996"/>
        <n v="59314.02"/>
        <n v="56321.67"/>
        <n v="44417.74"/>
        <n v="14005.12"/>
        <n v="21199.83"/>
        <n v="3498.01"/>
        <n v="40030.129999999997"/>
        <n v="57498.22"/>
        <n v="18844.689999999999"/>
        <n v="50644.54"/>
        <n v="32202.75"/>
        <n v="38868.22"/>
        <n v="31011.58"/>
        <n v="30219.49"/>
        <n v="51884.71"/>
        <n v="38859.75"/>
        <n v="25136.61"/>
        <n v="4852.05"/>
        <n v="46781.52"/>
        <n v="8381.73"/>
        <n v="828.72"/>
        <n v="42402.5"/>
        <n v="12903.81"/>
        <n v="54777.96"/>
        <n v="48632.54"/>
        <n v="57308.14"/>
        <n v="23357.4"/>
        <n v="4436.09"/>
        <n v="2040.39"/>
        <n v="21695.79"/>
        <n v="1598.54"/>
        <n v="1881.79"/>
        <n v="41562.449999999997"/>
        <n v="29539.9"/>
        <n v="45310.7"/>
        <n v="3131.61"/>
        <n v="4738.87"/>
        <n v="52491.81"/>
        <n v="21093.68"/>
        <n v="22870.5"/>
        <n v="17866.55"/>
        <n v="2299.85"/>
        <n v="37284.800000000003"/>
        <n v="25864.35"/>
        <n v="33783.879999999997"/>
        <n v="53295.22"/>
        <n v="21953.59"/>
        <n v="40311.089999999997"/>
        <n v="8597.6299999999992"/>
        <n v="15835.7"/>
        <n v="11410.12"/>
        <n v="15571.49"/>
        <n v="48687.11"/>
        <n v="4767.88"/>
        <n v="16457.060000000001"/>
        <n v="17045.91"/>
        <n v="18301.2"/>
        <n v="33138.58"/>
        <n v="17215.86"/>
        <n v="16592.14"/>
        <n v="44563.28"/>
        <n v="41349.199999999997"/>
        <n v="56387.58"/>
        <n v="42293.37"/>
        <n v="9910.9599999999991"/>
        <n v="31876.33"/>
        <n v="16046.27"/>
        <n v="48602.07"/>
        <n v="38607.089999999997"/>
        <n v="51274.45"/>
        <n v="57072.81"/>
        <n v="28223.62"/>
        <n v="36271.620000000003"/>
        <n v="16591.32"/>
        <n v="43271.55"/>
        <n v="40194.129999999997"/>
        <n v="59812.88"/>
        <n v="29326.02"/>
        <n v="9894.2999999999993"/>
        <n v="6739.82"/>
        <n v="20765.32"/>
        <n v="19116.87"/>
        <n v="42517.62"/>
        <n v="39936.35"/>
        <n v="53212"/>
        <n v="28307.57"/>
        <n v="33186.04"/>
        <n v="10515.27"/>
        <n v="39385.96"/>
        <n v="17197.78"/>
        <n v="48291.41"/>
        <n v="43507.39"/>
        <n v="7704.28"/>
        <n v="25473.08"/>
        <n v="9000.9500000000007"/>
        <n v="58554.03"/>
        <n v="18887.41"/>
        <n v="23234.25"/>
        <n v="19972.66"/>
        <n v="37967.599999999999"/>
        <n v="17408.009999999998"/>
        <n v="49062.99"/>
        <n v="26882.73"/>
        <n v="6783.04"/>
        <n v="29512.27"/>
        <n v="34355.410000000003"/>
        <n v="15162.83"/>
        <n v="41662.339999999997"/>
        <n v="9816.6200000000008"/>
        <n v="13283.05"/>
        <n v="4018.21"/>
        <n v="59311.95"/>
        <n v="31086.49"/>
        <n v="54961.45"/>
        <n v="1182.28"/>
        <n v="50173.39"/>
        <n v="16176.98"/>
        <n v="19574.759999999998"/>
        <n v="43300.24"/>
        <n v="9039.06"/>
        <n v="21780.89"/>
        <n v="50374.33"/>
        <n v="39077.72"/>
        <n v="36719.17"/>
        <n v="28410.76"/>
        <n v="35958.870000000003"/>
        <n v="32261.71"/>
        <n v="22683.49"/>
        <n v="50088.33"/>
        <n v="38260.699999999997"/>
        <n v="4322.3500000000004"/>
        <n v="15443.51"/>
        <n v="4512.83"/>
        <n v="43389.86"/>
        <n v="32353.55"/>
        <n v="47527.7"/>
        <n v="36011.040000000001"/>
        <n v="24805.040000000001"/>
        <n v="12334.88"/>
        <n v="16952.21"/>
        <n v="1236.1199999999999"/>
      </sharedItems>
    </cacheField>
    <cacheField name="Profit" numFmtId="0">
      <sharedItems containsSemiMixedTypes="0" containsString="0" containsNumber="1" minValue="72.819999999999993" maxValue="14457.2"/>
    </cacheField>
    <cacheField name="Profir margin" numFmtId="164">
      <sharedItems containsSemiMixedTypes="0" containsString="0" containsNumber="1" minValue="5.0211452034136378E-2" maxValue="0.24920994100186522"/>
    </cacheField>
    <cacheField name="Days (Order_Date)" numFmtId="0" databaseField="0">
      <fieldGroup base="1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Order_Date)" numFmtId="0" databaseField="0">
      <fieldGroup base="1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SHMA" refreshedDate="46191.845440740741" createdVersion="8" refreshedVersion="8" minRefreshableVersion="3" recordCount="250" xr:uid="{AE8D334E-04B2-4069-89BA-3D81C9980EE8}">
  <cacheSource type="worksheet">
    <worksheetSource ref="A1:J251" sheet="Data"/>
  </cacheSource>
  <cacheFields count="10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7-01T00:00:00"/>
    </cacheField>
    <cacheField name="Region" numFmtId="49">
      <sharedItems count="4">
        <s v="East"/>
        <s v="North"/>
        <s v="West"/>
        <s v="South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Total Sales" numFmtId="0">
      <sharedItems containsSemiMixedTypes="0" containsString="0" containsNumber="1" minValue="828.72" maxValue="59994.34" count="250">
        <n v="48656.49"/>
        <n v="49364.5"/>
        <n v="56814.46"/>
        <n v="31591.55"/>
        <n v="22168.67"/>
        <n v="47135.54"/>
        <n v="3249.37"/>
        <n v="9522.42"/>
        <n v="5128.32"/>
        <n v="6817.73"/>
        <n v="4205.45"/>
        <n v="25951.67"/>
        <n v="29808.98"/>
        <n v="47542.45"/>
        <n v="37998.730000000003"/>
        <n v="54556.31"/>
        <n v="24923.31"/>
        <n v="30624.46"/>
        <n v="7616.71"/>
        <n v="56334.67"/>
        <n v="31038.52"/>
        <n v="14604.99"/>
        <n v="23668.15"/>
        <n v="41755.01"/>
        <n v="11023.57"/>
        <n v="42936.1"/>
        <n v="41467.33"/>
        <n v="35739.519999999997"/>
        <n v="1210.07"/>
        <n v="31927.57"/>
        <n v="20791.34"/>
        <n v="36442.080000000002"/>
        <n v="12749.5"/>
        <n v="55615.39"/>
        <n v="38091.5"/>
        <n v="21590.49"/>
        <n v="48413.07"/>
        <n v="42430.05"/>
        <n v="47481.71"/>
        <n v="56295.93"/>
        <n v="59994.34"/>
        <n v="33650.639999999999"/>
        <n v="11846.6"/>
        <n v="22524.17"/>
        <n v="29368.51"/>
        <n v="35020.910000000003"/>
        <n v="4178.78"/>
        <n v="20540"/>
        <n v="33907.42"/>
        <n v="25779.85"/>
        <n v="15484.4"/>
        <n v="26724.05"/>
        <n v="16479.78"/>
        <n v="14683.64"/>
        <n v="29816.18"/>
        <n v="14904.41"/>
        <n v="4682.07"/>
        <n v="52405.57"/>
        <n v="9283.8799999999992"/>
        <n v="58017.19"/>
        <n v="48040.54"/>
        <n v="1770.46"/>
        <n v="1530.21"/>
        <n v="28055.62"/>
        <n v="52549.34"/>
        <n v="10729.47"/>
        <n v="39253.67"/>
        <n v="24488.13"/>
        <n v="22378.29"/>
        <n v="1369.59"/>
        <n v="10359.24"/>
        <n v="20648.87"/>
        <n v="26182.43"/>
        <n v="3548.82"/>
        <n v="7449.35"/>
        <n v="21709.85"/>
        <n v="40177.699999999997"/>
        <n v="32417.45"/>
        <n v="24504.94"/>
        <n v="56843.98"/>
        <n v="40213.980000000003"/>
        <n v="19484.64"/>
        <n v="26079.66"/>
        <n v="34292.46"/>
        <n v="14025.34"/>
        <n v="46528.3"/>
        <n v="54305.06"/>
        <n v="39846.28"/>
        <n v="35676.39"/>
        <n v="16999.11"/>
        <n v="58922.11"/>
        <n v="4670.68"/>
        <n v="27566.27"/>
        <n v="47434.32"/>
        <n v="48764.86"/>
        <n v="15806"/>
        <n v="19713.560000000001"/>
        <n v="55117.25"/>
        <n v="10190.06"/>
        <n v="20849.599999999999"/>
        <n v="50993.31"/>
        <n v="9833.73"/>
        <n v="21186.86"/>
        <n v="34114.35"/>
        <n v="41469.51"/>
        <n v="6376.16"/>
        <n v="12743.84"/>
        <n v="49256.12"/>
        <n v="4761.8999999999996"/>
        <n v="59314.02"/>
        <n v="56321.67"/>
        <n v="44417.74"/>
        <n v="14005.12"/>
        <n v="21199.83"/>
        <n v="3498.01"/>
        <n v="40030.129999999997"/>
        <n v="57498.22"/>
        <n v="18844.689999999999"/>
        <n v="50644.54"/>
        <n v="32202.75"/>
        <n v="38868.22"/>
        <n v="31011.58"/>
        <n v="30219.49"/>
        <n v="51884.71"/>
        <n v="38859.75"/>
        <n v="25136.61"/>
        <n v="4852.05"/>
        <n v="46781.52"/>
        <n v="8381.73"/>
        <n v="828.72"/>
        <n v="42402.5"/>
        <n v="12903.81"/>
        <n v="54777.96"/>
        <n v="48632.54"/>
        <n v="57308.14"/>
        <n v="23357.4"/>
        <n v="4436.09"/>
        <n v="2040.39"/>
        <n v="21695.79"/>
        <n v="1598.54"/>
        <n v="1881.79"/>
        <n v="41562.449999999997"/>
        <n v="29539.9"/>
        <n v="45310.7"/>
        <n v="3131.61"/>
        <n v="4738.87"/>
        <n v="52491.81"/>
        <n v="21093.68"/>
        <n v="22870.5"/>
        <n v="17866.55"/>
        <n v="2299.85"/>
        <n v="37284.800000000003"/>
        <n v="25864.35"/>
        <n v="33783.879999999997"/>
        <n v="53295.22"/>
        <n v="21953.59"/>
        <n v="40311.089999999997"/>
        <n v="8597.6299999999992"/>
        <n v="15835.7"/>
        <n v="11410.12"/>
        <n v="15571.49"/>
        <n v="48687.11"/>
        <n v="4767.88"/>
        <n v="16457.060000000001"/>
        <n v="17045.91"/>
        <n v="18301.2"/>
        <n v="33138.58"/>
        <n v="17215.86"/>
        <n v="16592.14"/>
        <n v="44563.28"/>
        <n v="41349.199999999997"/>
        <n v="56387.58"/>
        <n v="42293.37"/>
        <n v="9910.9599999999991"/>
        <n v="31876.33"/>
        <n v="16046.27"/>
        <n v="48602.07"/>
        <n v="38607.089999999997"/>
        <n v="51274.45"/>
        <n v="57072.81"/>
        <n v="28223.62"/>
        <n v="36271.620000000003"/>
        <n v="16591.32"/>
        <n v="43271.55"/>
        <n v="40194.129999999997"/>
        <n v="59812.88"/>
        <n v="29326.02"/>
        <n v="9894.2999999999993"/>
        <n v="6739.82"/>
        <n v="20765.32"/>
        <n v="19116.87"/>
        <n v="42517.62"/>
        <n v="39936.35"/>
        <n v="53212"/>
        <n v="28307.57"/>
        <n v="33186.04"/>
        <n v="10515.27"/>
        <n v="39385.96"/>
        <n v="17197.78"/>
        <n v="48291.41"/>
        <n v="43507.39"/>
        <n v="7704.28"/>
        <n v="25473.08"/>
        <n v="9000.9500000000007"/>
        <n v="58554.03"/>
        <n v="18887.41"/>
        <n v="23234.25"/>
        <n v="19972.66"/>
        <n v="37967.599999999999"/>
        <n v="17408.009999999998"/>
        <n v="49062.99"/>
        <n v="26882.73"/>
        <n v="6783.04"/>
        <n v="29512.27"/>
        <n v="34355.410000000003"/>
        <n v="15162.83"/>
        <n v="41662.339999999997"/>
        <n v="9816.6200000000008"/>
        <n v="13283.05"/>
        <n v="4018.21"/>
        <n v="59311.95"/>
        <n v="31086.49"/>
        <n v="54961.45"/>
        <n v="1182.28"/>
        <n v="50173.39"/>
        <n v="16176.98"/>
        <n v="19574.759999999998"/>
        <n v="43300.24"/>
        <n v="9039.06"/>
        <n v="21780.89"/>
        <n v="50374.33"/>
        <n v="39077.72"/>
        <n v="36719.17"/>
        <n v="28410.76"/>
        <n v="35958.870000000003"/>
        <n v="32261.71"/>
        <n v="22683.49"/>
        <n v="50088.33"/>
        <n v="38260.699999999997"/>
        <n v="4322.3500000000004"/>
        <n v="15443.51"/>
        <n v="4512.83"/>
        <n v="43389.86"/>
        <n v="32353.55"/>
        <n v="47527.7"/>
        <n v="36011.040000000001"/>
        <n v="24805.040000000001"/>
        <n v="12334.88"/>
        <n v="16952.21"/>
        <n v="1236.1199999999999"/>
      </sharedItems>
    </cacheField>
    <cacheField name="Profit" numFmtId="0">
      <sharedItems containsSemiMixedTypes="0" containsString="0" containsNumber="1" minValue="72.819999999999993" maxValue="14457.2" count="250">
        <n v="5666.94"/>
        <n v="7869.29"/>
        <n v="11156.3"/>
        <n v="6728.73"/>
        <n v="4276.49"/>
        <n v="5300.13"/>
        <n v="382.56"/>
        <n v="646.22"/>
        <n v="749.61"/>
        <n v="480.19"/>
        <n v="538.20000000000005"/>
        <n v="4152.5600000000004"/>
        <n v="1990.67"/>
        <n v="2454.4299999999998"/>
        <n v="3471.57"/>
        <n v="11145.79"/>
        <n v="1995.24"/>
        <n v="4226.57"/>
        <n v="1228.77"/>
        <n v="9445.43"/>
        <n v="5460.09"/>
        <n v="3163.09"/>
        <n v="4187.13"/>
        <n v="10179.379999999999"/>
        <n v="1604.77"/>
        <n v="5444.37"/>
        <n v="3003.46"/>
        <n v="4883.13"/>
        <n v="180.8"/>
        <n v="4348.8500000000004"/>
        <n v="4849.34"/>
        <n v="4952.93"/>
        <n v="919.32"/>
        <n v="12137.71"/>
        <n v="9464.77"/>
        <n v="3654.39"/>
        <n v="11168.85"/>
        <n v="4665.5"/>
        <n v="10797.33"/>
        <n v="12493.42"/>
        <n v="4024.98"/>
        <n v="7259.12"/>
        <n v="1641.87"/>
        <n v="5180.87"/>
        <n v="4244.08"/>
        <n v="6177.05"/>
        <n v="806.71"/>
        <n v="4085.92"/>
        <n v="5780.7"/>
        <n v="2742.11"/>
        <n v="1769.43"/>
        <n v="1991.54"/>
        <n v="2791.02"/>
        <n v="2880.8"/>
        <n v="2766.7"/>
        <n v="1239.28"/>
        <n v="736.69"/>
        <n v="5780.19"/>
        <n v="472.72"/>
        <n v="7994.2"/>
        <n v="3875.39"/>
        <n v="106.94"/>
        <n v="94.85"/>
        <n v="3745.96"/>
        <n v="9505.09"/>
        <n v="567.14"/>
        <n v="5192.16"/>
        <n v="1298.1500000000001"/>
        <n v="1492.99"/>
        <n v="72.819999999999993"/>
        <n v="2031.05"/>
        <n v="5061.41"/>
        <n v="4640.83"/>
        <n v="814.34"/>
        <n v="1437.53"/>
        <n v="4632.05"/>
        <n v="3988.05"/>
        <n v="6562.16"/>
        <n v="1715.55"/>
        <n v="6941.32"/>
        <n v="2331.41"/>
        <n v="4834.95"/>
        <n v="2727.82"/>
        <n v="7944.55"/>
        <n v="2733.58"/>
        <n v="3983.92"/>
        <n v="10099.83"/>
        <n v="7698.3"/>
        <n v="6333.66"/>
        <n v="1350.57"/>
        <n v="3296.27"/>
        <n v="982.98"/>
        <n v="2664.53"/>
        <n v="4934.63"/>
        <n v="10162.61"/>
        <n v="1733.99"/>
        <n v="1189.06"/>
        <n v="10334.92"/>
        <n v="1654.37"/>
        <n v="3937.21"/>
        <n v="9779.06"/>
        <n v="1938.17"/>
        <n v="4062.6"/>
        <n v="2619.0300000000002"/>
        <n v="3412.28"/>
        <n v="1084.8800000000001"/>
        <n v="1672.18"/>
        <n v="11452.01"/>
        <n v="936.44"/>
        <n v="5108.8100000000004"/>
        <n v="11772.27"/>
        <n v="5575.53"/>
        <n v="797.18"/>
        <n v="4393.1400000000003"/>
        <n v="188.85"/>
        <n v="5076.03"/>
        <n v="11751.97"/>
        <n v="1569.21"/>
        <n v="4645"/>
        <n v="1974.14"/>
        <n v="7036.12"/>
        <n v="7054.31"/>
        <n v="3844.51"/>
        <n v="12604.93"/>
        <n v="9302.35"/>
        <n v="3610.83"/>
        <n v="908.58"/>
        <n v="10643.09"/>
        <n v="1999.64"/>
        <n v="166.03"/>
        <n v="4880.0200000000004"/>
        <n v="1070.94"/>
        <n v="11220.29"/>
        <n v="3478.07"/>
        <n v="11417.05"/>
        <n v="2873.7"/>
        <n v="371.21"/>
        <n v="272.83"/>
        <n v="4974.53"/>
        <n v="313.31"/>
        <n v="170.12"/>
        <n v="3582.72"/>
        <n v="7071.29"/>
        <n v="9610.51"/>
        <n v="229.33"/>
        <n v="264.35000000000002"/>
        <n v="2635.69"/>
        <n v="1810.13"/>
        <n v="5257.66"/>
        <n v="3063.31"/>
        <n v="302.2"/>
        <n v="8629.58"/>
        <n v="6220.75"/>
        <n v="4659.76"/>
        <n v="8522.43"/>
        <n v="4374.1099999999997"/>
        <n v="5343.22"/>
        <n v="847.15"/>
        <n v="1830.59"/>
        <n v="1833.38"/>
        <n v="1185.55"/>
        <n v="6611.94"/>
        <n v="797.21"/>
        <n v="1393.17"/>
        <n v="3952.24"/>
        <n v="2235.6"/>
        <n v="6014.57"/>
        <n v="1284.8399999999999"/>
        <n v="1929.85"/>
        <n v="9697.02"/>
        <n v="7731.88"/>
        <n v="6194.93"/>
        <n v="4418.0600000000004"/>
        <n v="1413.48"/>
        <n v="4175.09"/>
        <n v="3998.89"/>
        <n v="8668.84"/>
        <n v="4562.22"/>
        <n v="11093.21"/>
        <n v="10054"/>
        <n v="4599.3599999999997"/>
        <n v="7559.58"/>
        <n v="2585.58"/>
        <n v="4191.32"/>
        <n v="2120.71"/>
        <n v="14277.82"/>
        <n v="6366.2"/>
        <n v="1764.5"/>
        <n v="503.13"/>
        <n v="4321.3999999999996"/>
        <n v="4410.1400000000003"/>
        <n v="8951.5300000000007"/>
        <n v="4705.41"/>
        <n v="3778.5"/>
        <n v="5867.28"/>
        <n v="8108.51"/>
        <n v="2021.52"/>
        <n v="8423.0300000000007"/>
        <n v="1214.03"/>
        <n v="11865.86"/>
        <n v="8175.9"/>
        <n v="1232.7"/>
        <n v="2418.06"/>
        <n v="693.36"/>
        <n v="14457.2"/>
        <n v="1448.23"/>
        <n v="5413.26"/>
        <n v="4239.96"/>
        <n v="5914.07"/>
        <n v="1441.83"/>
        <n v="9386.32"/>
        <n v="5557.2"/>
        <n v="1259.55"/>
        <n v="2866.7"/>
        <n v="8420.77"/>
        <n v="1861.69"/>
        <n v="9806.92"/>
        <n v="923"/>
        <n v="2449.0300000000002"/>
        <n v="649.65"/>
        <n v="9954.2800000000007"/>
        <n v="3984.56"/>
        <n v="11321.78"/>
        <n v="162.94999999999999"/>
        <n v="9494.64"/>
        <n v="1944.48"/>
        <n v="3125.67"/>
        <n v="5947.49"/>
        <n v="1701.7"/>
        <n v="4435.45"/>
        <n v="5842.38"/>
        <n v="2518.73"/>
        <n v="8824.08"/>
        <n v="2755.77"/>
        <n v="8375.25"/>
        <n v="7722.13"/>
        <n v="5631.93"/>
        <n v="7967.29"/>
        <n v="5691.21"/>
        <n v="501.64"/>
        <n v="3574.32"/>
        <n v="794.44"/>
        <n v="5423.51"/>
        <n v="7791.96"/>
        <n v="7149.26"/>
        <n v="8678.18"/>
        <n v="2463.77"/>
        <n v="1267.24"/>
        <n v="2796.9"/>
        <n v="162.05000000000001"/>
      </sharedItems>
    </cacheField>
    <cacheField name="Profit margin" numFmtId="164">
      <sharedItems containsSemiMixedTypes="0" containsString="0" containsNumber="1" minValue="5.0211452034136378E-2" maxValue="0.24920994100186522"/>
    </cacheField>
    <cacheField name="Sales Category 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0001"/>
    <x v="0"/>
    <x v="0"/>
    <x v="0"/>
    <s v="Stationery"/>
    <n v="3"/>
    <x v="0"/>
    <n v="5666.94"/>
    <n v="0.1164683272467866"/>
  </r>
  <r>
    <s v="ORD0002"/>
    <x v="1"/>
    <x v="1"/>
    <x v="1"/>
    <s v="Furniture"/>
    <n v="4"/>
    <x v="1"/>
    <n v="7869.29"/>
    <n v="0.15941192557404613"/>
  </r>
  <r>
    <s v="ORD0003"/>
    <x v="2"/>
    <x v="2"/>
    <x v="2"/>
    <s v="Electronics"/>
    <n v="7"/>
    <x v="2"/>
    <n v="11156.3"/>
    <n v="0.19636374261059594"/>
  </r>
  <r>
    <s v="ORD0004"/>
    <x v="3"/>
    <x v="1"/>
    <x v="3"/>
    <s v="Furniture"/>
    <n v="9"/>
    <x v="3"/>
    <n v="6728.73"/>
    <n v="0.21299144866269618"/>
  </r>
  <r>
    <s v="ORD0005"/>
    <x v="4"/>
    <x v="2"/>
    <x v="4"/>
    <s v="Stationery"/>
    <n v="5"/>
    <x v="4"/>
    <n v="4276.49"/>
    <n v="0.19290692675744645"/>
  </r>
  <r>
    <s v="ORD0006"/>
    <x v="5"/>
    <x v="3"/>
    <x v="2"/>
    <s v="Electronics"/>
    <n v="9"/>
    <x v="5"/>
    <n v="5300.13"/>
    <n v="0.11244445274202863"/>
  </r>
  <r>
    <s v="ORD0007"/>
    <x v="6"/>
    <x v="3"/>
    <x v="0"/>
    <s v="Stationery"/>
    <n v="5"/>
    <x v="6"/>
    <n v="382.56"/>
    <n v="0.11773359143464733"/>
  </r>
  <r>
    <s v="ORD0008"/>
    <x v="7"/>
    <x v="1"/>
    <x v="1"/>
    <s v="Furniture"/>
    <n v="3"/>
    <x v="7"/>
    <n v="646.22"/>
    <n v="6.7863001211876814E-2"/>
  </r>
  <r>
    <s v="ORD0009"/>
    <x v="8"/>
    <x v="3"/>
    <x v="4"/>
    <s v="Stationery"/>
    <n v="1"/>
    <x v="8"/>
    <n v="749.61"/>
    <n v="0.1461706757768626"/>
  </r>
  <r>
    <s v="ORD0010"/>
    <x v="9"/>
    <x v="3"/>
    <x v="5"/>
    <s v="Electronics"/>
    <n v="7"/>
    <x v="9"/>
    <n v="480.19"/>
    <n v="7.0432533995919464E-2"/>
  </r>
  <r>
    <s v="ORD0011"/>
    <x v="10"/>
    <x v="3"/>
    <x v="5"/>
    <s v="Electronics"/>
    <n v="4"/>
    <x v="10"/>
    <n v="538.20000000000005"/>
    <n v="0.12797679201987899"/>
  </r>
  <r>
    <s v="ORD0012"/>
    <x v="11"/>
    <x v="3"/>
    <x v="6"/>
    <s v="Furniture"/>
    <n v="8"/>
    <x v="11"/>
    <n v="4152.5600000000004"/>
    <n v="0.16001128251091359"/>
  </r>
  <r>
    <s v="ORD0013"/>
    <x v="12"/>
    <x v="3"/>
    <x v="6"/>
    <s v="Furniture"/>
    <n v="10"/>
    <x v="12"/>
    <n v="1990.67"/>
    <n v="6.6780882807798189E-2"/>
  </r>
  <r>
    <s v="ORD0014"/>
    <x v="13"/>
    <x v="1"/>
    <x v="4"/>
    <s v="Stationery"/>
    <n v="7"/>
    <x v="13"/>
    <n v="2454.4299999999998"/>
    <n v="5.1626073119917043E-2"/>
  </r>
  <r>
    <s v="ORD0015"/>
    <x v="14"/>
    <x v="0"/>
    <x v="7"/>
    <s v="Electronics"/>
    <n v="2"/>
    <x v="14"/>
    <n v="3471.57"/>
    <n v="9.1360158615827414E-2"/>
  </r>
  <r>
    <s v="ORD0016"/>
    <x v="15"/>
    <x v="0"/>
    <x v="3"/>
    <s v="Furniture"/>
    <n v="9"/>
    <x v="15"/>
    <n v="11145.79"/>
    <n v="0.20429882446228495"/>
  </r>
  <r>
    <s v="ORD0017"/>
    <x v="16"/>
    <x v="0"/>
    <x v="7"/>
    <s v="Electronics"/>
    <n v="10"/>
    <x v="16"/>
    <n v="1995.24"/>
    <n v="8.0055177261768196E-2"/>
  </r>
  <r>
    <s v="ORD0018"/>
    <x v="17"/>
    <x v="2"/>
    <x v="2"/>
    <s v="Electronics"/>
    <n v="4"/>
    <x v="17"/>
    <n v="4226.57"/>
    <n v="0.13801288251286717"/>
  </r>
  <r>
    <s v="ORD0019"/>
    <x v="18"/>
    <x v="2"/>
    <x v="4"/>
    <s v="Stationery"/>
    <n v="6"/>
    <x v="18"/>
    <n v="1228.77"/>
    <n v="0.16132555919813146"/>
  </r>
  <r>
    <s v="ORD0020"/>
    <x v="19"/>
    <x v="3"/>
    <x v="4"/>
    <s v="Stationery"/>
    <n v="5"/>
    <x v="19"/>
    <n v="9445.43"/>
    <n v="0.16766637667354758"/>
  </r>
  <r>
    <s v="ORD0021"/>
    <x v="20"/>
    <x v="3"/>
    <x v="1"/>
    <s v="Furniture"/>
    <n v="9"/>
    <x v="20"/>
    <n v="5460.09"/>
    <n v="0.17591334896122623"/>
  </r>
  <r>
    <s v="ORD0022"/>
    <x v="21"/>
    <x v="1"/>
    <x v="4"/>
    <s v="Stationery"/>
    <n v="5"/>
    <x v="21"/>
    <n v="3163.09"/>
    <n v="0.21657597848406607"/>
  </r>
  <r>
    <s v="ORD0023"/>
    <x v="0"/>
    <x v="0"/>
    <x v="7"/>
    <s v="Electronics"/>
    <n v="6"/>
    <x v="22"/>
    <n v="4187.13"/>
    <n v="0.17690989790076536"/>
  </r>
  <r>
    <s v="ORD0024"/>
    <x v="22"/>
    <x v="3"/>
    <x v="2"/>
    <s v="Electronics"/>
    <n v="4"/>
    <x v="23"/>
    <n v="10179.379999999999"/>
    <n v="0.24378823044228701"/>
  </r>
  <r>
    <s v="ORD0025"/>
    <x v="23"/>
    <x v="1"/>
    <x v="2"/>
    <s v="Electronics"/>
    <n v="2"/>
    <x v="24"/>
    <n v="1604.77"/>
    <n v="0.14557625161358798"/>
  </r>
  <r>
    <s v="ORD0026"/>
    <x v="24"/>
    <x v="0"/>
    <x v="7"/>
    <s v="Electronics"/>
    <n v="8"/>
    <x v="25"/>
    <n v="5444.37"/>
    <n v="0.12680168902159256"/>
  </r>
  <r>
    <s v="ORD0027"/>
    <x v="25"/>
    <x v="2"/>
    <x v="1"/>
    <s v="Furniture"/>
    <n v="4"/>
    <x v="26"/>
    <n v="3003.46"/>
    <n v="7.2429548755610737E-2"/>
  </r>
  <r>
    <s v="ORD0028"/>
    <x v="1"/>
    <x v="2"/>
    <x v="6"/>
    <s v="Furniture"/>
    <n v="9"/>
    <x v="27"/>
    <n v="4883.13"/>
    <n v="0.13663110192862132"/>
  </r>
  <r>
    <s v="ORD0029"/>
    <x v="18"/>
    <x v="3"/>
    <x v="6"/>
    <s v="Furniture"/>
    <n v="8"/>
    <x v="28"/>
    <n v="180.8"/>
    <n v="0.14941284388506451"/>
  </r>
  <r>
    <s v="ORD0030"/>
    <x v="26"/>
    <x v="1"/>
    <x v="1"/>
    <s v="Furniture"/>
    <n v="5"/>
    <x v="29"/>
    <n v="4348.8500000000004"/>
    <n v="0.13620986501634796"/>
  </r>
  <r>
    <s v="ORD0031"/>
    <x v="27"/>
    <x v="1"/>
    <x v="4"/>
    <s v="Stationery"/>
    <n v="5"/>
    <x v="30"/>
    <n v="4849.34"/>
    <n v="0.23323845408713437"/>
  </r>
  <r>
    <s v="ORD0032"/>
    <x v="1"/>
    <x v="3"/>
    <x v="5"/>
    <s v="Electronics"/>
    <n v="4"/>
    <x v="31"/>
    <n v="4952.93"/>
    <n v="0.13591238480350187"/>
  </r>
  <r>
    <s v="ORD0033"/>
    <x v="28"/>
    <x v="0"/>
    <x v="1"/>
    <s v="Furniture"/>
    <n v="9"/>
    <x v="32"/>
    <n v="919.32"/>
    <n v="7.210635711204362E-2"/>
  </r>
  <r>
    <s v="ORD0034"/>
    <x v="29"/>
    <x v="2"/>
    <x v="0"/>
    <s v="Stationery"/>
    <n v="6"/>
    <x v="33"/>
    <n v="12137.71"/>
    <n v="0.2182437271409946"/>
  </r>
  <r>
    <s v="ORD0035"/>
    <x v="30"/>
    <x v="3"/>
    <x v="5"/>
    <s v="Electronics"/>
    <n v="9"/>
    <x v="34"/>
    <n v="9464.77"/>
    <n v="0.24847459406954309"/>
  </r>
  <r>
    <s v="ORD0036"/>
    <x v="8"/>
    <x v="1"/>
    <x v="4"/>
    <s v="Stationery"/>
    <n v="5"/>
    <x v="35"/>
    <n v="3654.39"/>
    <n v="0.16925924330573319"/>
  </r>
  <r>
    <s v="ORD0037"/>
    <x v="31"/>
    <x v="2"/>
    <x v="3"/>
    <s v="Furniture"/>
    <n v="3"/>
    <x v="36"/>
    <n v="11168.85"/>
    <n v="0.23069906535569837"/>
  </r>
  <r>
    <s v="ORD0038"/>
    <x v="32"/>
    <x v="0"/>
    <x v="3"/>
    <s v="Furniture"/>
    <n v="8"/>
    <x v="37"/>
    <n v="4665.5"/>
    <n v="0.10995744761083241"/>
  </r>
  <r>
    <s v="ORD0039"/>
    <x v="33"/>
    <x v="2"/>
    <x v="0"/>
    <s v="Stationery"/>
    <n v="2"/>
    <x v="38"/>
    <n v="10797.33"/>
    <n v="0.22739977140671641"/>
  </r>
  <r>
    <s v="ORD0040"/>
    <x v="34"/>
    <x v="0"/>
    <x v="7"/>
    <s v="Electronics"/>
    <n v="8"/>
    <x v="39"/>
    <n v="12493.42"/>
    <n v="0.22192403607152417"/>
  </r>
  <r>
    <s v="ORD0041"/>
    <x v="35"/>
    <x v="0"/>
    <x v="4"/>
    <s v="Stationery"/>
    <n v="5"/>
    <x v="40"/>
    <n v="4024.98"/>
    <n v="6.7089328760013028E-2"/>
  </r>
  <r>
    <s v="ORD0042"/>
    <x v="36"/>
    <x v="1"/>
    <x v="1"/>
    <s v="Furniture"/>
    <n v="1"/>
    <x v="41"/>
    <n v="7259.12"/>
    <n v="0.21572011706166658"/>
  </r>
  <r>
    <s v="ORD0043"/>
    <x v="37"/>
    <x v="3"/>
    <x v="0"/>
    <s v="Stationery"/>
    <n v="9"/>
    <x v="42"/>
    <n v="1641.87"/>
    <n v="0.13859419580301519"/>
  </r>
  <r>
    <s v="ORD0044"/>
    <x v="38"/>
    <x v="3"/>
    <x v="4"/>
    <s v="Stationery"/>
    <n v="6"/>
    <x v="43"/>
    <n v="5180.87"/>
    <n v="0.23001380295034179"/>
  </r>
  <r>
    <s v="ORD0045"/>
    <x v="39"/>
    <x v="3"/>
    <x v="2"/>
    <s v="Electronics"/>
    <n v="7"/>
    <x v="44"/>
    <n v="4244.08"/>
    <n v="0.14451124691038122"/>
  </r>
  <r>
    <s v="ORD0046"/>
    <x v="40"/>
    <x v="3"/>
    <x v="5"/>
    <s v="Electronics"/>
    <n v="8"/>
    <x v="45"/>
    <n v="6177.05"/>
    <n v="0.17638176734984898"/>
  </r>
  <r>
    <s v="ORD0047"/>
    <x v="41"/>
    <x v="1"/>
    <x v="4"/>
    <s v="Stationery"/>
    <n v="4"/>
    <x v="46"/>
    <n v="806.71"/>
    <n v="0.19304916746035927"/>
  </r>
  <r>
    <s v="ORD0048"/>
    <x v="42"/>
    <x v="2"/>
    <x v="4"/>
    <s v="Stationery"/>
    <n v="5"/>
    <x v="47"/>
    <n v="4085.92"/>
    <n v="0.19892502434274587"/>
  </r>
  <r>
    <s v="ORD0049"/>
    <x v="43"/>
    <x v="0"/>
    <x v="2"/>
    <s v="Electronics"/>
    <n v="3"/>
    <x v="48"/>
    <n v="5780.7"/>
    <n v="0.1704848083398855"/>
  </r>
  <r>
    <s v="ORD0050"/>
    <x v="44"/>
    <x v="1"/>
    <x v="4"/>
    <s v="Stationery"/>
    <n v="3"/>
    <x v="49"/>
    <n v="2742.11"/>
    <n v="0.10636640632121599"/>
  </r>
  <r>
    <s v="ORD0051"/>
    <x v="25"/>
    <x v="3"/>
    <x v="4"/>
    <s v="Stationery"/>
    <n v="7"/>
    <x v="50"/>
    <n v="1769.43"/>
    <n v="0.11427178321407352"/>
  </r>
  <r>
    <s v="ORD0052"/>
    <x v="6"/>
    <x v="3"/>
    <x v="1"/>
    <s v="Furniture"/>
    <n v="7"/>
    <x v="51"/>
    <n v="1991.54"/>
    <n v="7.4522387138177035E-2"/>
  </r>
  <r>
    <s v="ORD0053"/>
    <x v="45"/>
    <x v="1"/>
    <x v="5"/>
    <s v="Electronics"/>
    <n v="6"/>
    <x v="52"/>
    <n v="2791.02"/>
    <n v="0.16936027058613648"/>
  </r>
  <r>
    <s v="ORD0054"/>
    <x v="46"/>
    <x v="1"/>
    <x v="0"/>
    <s v="Stationery"/>
    <n v="1"/>
    <x v="53"/>
    <n v="2880.8"/>
    <n v="0.19619113516811909"/>
  </r>
  <r>
    <s v="ORD0055"/>
    <x v="38"/>
    <x v="2"/>
    <x v="3"/>
    <s v="Furniture"/>
    <n v="9"/>
    <x v="54"/>
    <n v="2766.7"/>
    <n v="9.2791900236717101E-2"/>
  </r>
  <r>
    <s v="ORD0056"/>
    <x v="47"/>
    <x v="1"/>
    <x v="0"/>
    <s v="Stationery"/>
    <n v="4"/>
    <x v="55"/>
    <n v="1239.28"/>
    <n v="8.3148544625382681E-2"/>
  </r>
  <r>
    <s v="ORD0057"/>
    <x v="47"/>
    <x v="1"/>
    <x v="6"/>
    <s v="Furniture"/>
    <n v="3"/>
    <x v="56"/>
    <n v="736.69"/>
    <n v="0.15734279923196365"/>
  </r>
  <r>
    <s v="ORD0058"/>
    <x v="48"/>
    <x v="3"/>
    <x v="3"/>
    <s v="Furniture"/>
    <n v="7"/>
    <x v="57"/>
    <n v="5780.19"/>
    <n v="0.11029724512108159"/>
  </r>
  <r>
    <s v="ORD0059"/>
    <x v="49"/>
    <x v="1"/>
    <x v="7"/>
    <s v="Electronics"/>
    <n v="1"/>
    <x v="58"/>
    <n v="472.72"/>
    <n v="5.0918366027996924E-2"/>
  </r>
  <r>
    <s v="ORD0060"/>
    <x v="50"/>
    <x v="2"/>
    <x v="3"/>
    <s v="Furniture"/>
    <n v="4"/>
    <x v="59"/>
    <n v="7994.2"/>
    <n v="0.13779019631940118"/>
  </r>
  <r>
    <s v="ORD0061"/>
    <x v="51"/>
    <x v="3"/>
    <x v="3"/>
    <s v="Furniture"/>
    <n v="9"/>
    <x v="60"/>
    <n v="3875.39"/>
    <n v="8.0669159838752849E-2"/>
  </r>
  <r>
    <s v="ORD0062"/>
    <x v="52"/>
    <x v="2"/>
    <x v="5"/>
    <s v="Electronics"/>
    <n v="7"/>
    <x v="61"/>
    <n v="106.94"/>
    <n v="6.04023813020345E-2"/>
  </r>
  <r>
    <s v="ORD0063"/>
    <x v="53"/>
    <x v="0"/>
    <x v="5"/>
    <s v="Electronics"/>
    <n v="6"/>
    <x v="62"/>
    <n v="94.85"/>
    <n v="6.198495631318577E-2"/>
  </r>
  <r>
    <s v="ORD0064"/>
    <x v="54"/>
    <x v="1"/>
    <x v="2"/>
    <s v="Electronics"/>
    <n v="10"/>
    <x v="63"/>
    <n v="3745.96"/>
    <n v="0.13351905963938776"/>
  </r>
  <r>
    <s v="ORD0065"/>
    <x v="7"/>
    <x v="1"/>
    <x v="5"/>
    <s v="Electronics"/>
    <n v="4"/>
    <x v="64"/>
    <n v="9505.09"/>
    <n v="0.18087934120580773"/>
  </r>
  <r>
    <s v="ORD0066"/>
    <x v="55"/>
    <x v="0"/>
    <x v="4"/>
    <s v="Stationery"/>
    <n v="5"/>
    <x v="65"/>
    <n v="567.14"/>
    <n v="5.2858156087858953E-2"/>
  </r>
  <r>
    <s v="ORD0067"/>
    <x v="56"/>
    <x v="1"/>
    <x v="1"/>
    <s v="Furniture"/>
    <n v="2"/>
    <x v="66"/>
    <n v="5192.16"/>
    <n v="0.13227196336036859"/>
  </r>
  <r>
    <s v="ORD0068"/>
    <x v="57"/>
    <x v="2"/>
    <x v="0"/>
    <s v="Stationery"/>
    <n v="5"/>
    <x v="67"/>
    <n v="1298.1500000000001"/>
    <n v="5.3011397766999771E-2"/>
  </r>
  <r>
    <s v="ORD0069"/>
    <x v="6"/>
    <x v="0"/>
    <x v="2"/>
    <s v="Electronics"/>
    <n v="5"/>
    <x v="68"/>
    <n v="1492.99"/>
    <n v="6.671600019483169E-2"/>
  </r>
  <r>
    <s v="ORD0070"/>
    <x v="58"/>
    <x v="2"/>
    <x v="1"/>
    <s v="Furniture"/>
    <n v="7"/>
    <x v="69"/>
    <n v="72.819999999999993"/>
    <n v="5.3169196620886539E-2"/>
  </r>
  <r>
    <s v="ORD0071"/>
    <x v="59"/>
    <x v="3"/>
    <x v="6"/>
    <s v="Furniture"/>
    <n v="7"/>
    <x v="70"/>
    <n v="2031.05"/>
    <n v="0.19606168020047804"/>
  </r>
  <r>
    <s v="ORD0072"/>
    <x v="60"/>
    <x v="2"/>
    <x v="3"/>
    <s v="Furniture"/>
    <n v="7"/>
    <x v="71"/>
    <n v="5061.41"/>
    <n v="0.24511801372181627"/>
  </r>
  <r>
    <s v="ORD0073"/>
    <x v="36"/>
    <x v="2"/>
    <x v="6"/>
    <s v="Furniture"/>
    <n v="1"/>
    <x v="72"/>
    <n v="4640.83"/>
    <n v="0.1772497816283668"/>
  </r>
  <r>
    <s v="ORD0074"/>
    <x v="30"/>
    <x v="1"/>
    <x v="3"/>
    <s v="Furniture"/>
    <n v="8"/>
    <x v="73"/>
    <n v="814.34"/>
    <n v="0.22946782310739908"/>
  </r>
  <r>
    <s v="ORD0075"/>
    <x v="60"/>
    <x v="0"/>
    <x v="1"/>
    <s v="Furniture"/>
    <n v="9"/>
    <x v="74"/>
    <n v="1437.53"/>
    <n v="0.19297388362743056"/>
  </r>
  <r>
    <s v="ORD0076"/>
    <x v="49"/>
    <x v="0"/>
    <x v="0"/>
    <s v="Stationery"/>
    <n v="4"/>
    <x v="75"/>
    <n v="4632.05"/>
    <n v="0.21336167684253923"/>
  </r>
  <r>
    <s v="ORD0077"/>
    <x v="61"/>
    <x v="0"/>
    <x v="0"/>
    <s v="Stationery"/>
    <n v="9"/>
    <x v="76"/>
    <n v="3988.05"/>
    <n v="9.9260286178651347E-2"/>
  </r>
  <r>
    <s v="ORD0078"/>
    <x v="62"/>
    <x v="1"/>
    <x v="6"/>
    <s v="Furniture"/>
    <n v="7"/>
    <x v="77"/>
    <n v="6562.16"/>
    <n v="0.20242677940430231"/>
  </r>
  <r>
    <s v="ORD0079"/>
    <x v="63"/>
    <x v="3"/>
    <x v="4"/>
    <s v="Stationery"/>
    <n v="1"/>
    <x v="78"/>
    <n v="1715.55"/>
    <n v="7.0008333013669904E-2"/>
  </r>
  <r>
    <s v="ORD0080"/>
    <x v="64"/>
    <x v="0"/>
    <x v="3"/>
    <s v="Furniture"/>
    <n v="3"/>
    <x v="79"/>
    <n v="6941.32"/>
    <n v="0.12211178738716043"/>
  </r>
  <r>
    <s v="ORD0081"/>
    <x v="65"/>
    <x v="0"/>
    <x v="4"/>
    <s v="Stationery"/>
    <n v="4"/>
    <x v="80"/>
    <n v="2331.41"/>
    <n v="5.7975112137619793E-2"/>
  </r>
  <r>
    <s v="ORD0082"/>
    <x v="49"/>
    <x v="2"/>
    <x v="3"/>
    <s v="Furniture"/>
    <n v="5"/>
    <x v="81"/>
    <n v="4834.95"/>
    <n v="0.24814161308600005"/>
  </r>
  <r>
    <s v="ORD0083"/>
    <x v="66"/>
    <x v="0"/>
    <x v="2"/>
    <s v="Electronics"/>
    <n v="9"/>
    <x v="82"/>
    <n v="2727.82"/>
    <n v="0.104595688747476"/>
  </r>
  <r>
    <s v="ORD0084"/>
    <x v="67"/>
    <x v="3"/>
    <x v="1"/>
    <s v="Furniture"/>
    <n v="4"/>
    <x v="83"/>
    <n v="7944.55"/>
    <n v="0.2316704605035626"/>
  </r>
  <r>
    <s v="ORD0085"/>
    <x v="68"/>
    <x v="2"/>
    <x v="7"/>
    <s v="Electronics"/>
    <n v="6"/>
    <x v="84"/>
    <n v="2733.58"/>
    <n v="0.19490293996437874"/>
  </r>
  <r>
    <s v="ORD0086"/>
    <x v="69"/>
    <x v="3"/>
    <x v="2"/>
    <s v="Electronics"/>
    <n v="3"/>
    <x v="85"/>
    <n v="3983.92"/>
    <n v="8.5623588224800817E-2"/>
  </r>
  <r>
    <s v="ORD0087"/>
    <x v="34"/>
    <x v="3"/>
    <x v="7"/>
    <s v="Electronics"/>
    <n v="4"/>
    <x v="86"/>
    <n v="10099.83"/>
    <n v="0.18598322145302851"/>
  </r>
  <r>
    <s v="ORD0088"/>
    <x v="70"/>
    <x v="3"/>
    <x v="5"/>
    <s v="Electronics"/>
    <n v="1"/>
    <x v="87"/>
    <n v="7698.3"/>
    <n v="0.19319996747500645"/>
  </r>
  <r>
    <s v="ORD0089"/>
    <x v="71"/>
    <x v="3"/>
    <x v="3"/>
    <s v="Furniture"/>
    <n v="5"/>
    <x v="88"/>
    <n v="6333.66"/>
    <n v="0.17753085443902816"/>
  </r>
  <r>
    <s v="ORD0090"/>
    <x v="72"/>
    <x v="0"/>
    <x v="0"/>
    <s v="Stationery"/>
    <n v="4"/>
    <x v="89"/>
    <n v="1350.57"/>
    <n v="7.9449453530214223E-2"/>
  </r>
  <r>
    <s v="ORD0091"/>
    <x v="73"/>
    <x v="3"/>
    <x v="3"/>
    <s v="Furniture"/>
    <n v="1"/>
    <x v="90"/>
    <n v="3296.27"/>
    <n v="5.594283707762672E-2"/>
  </r>
  <r>
    <s v="ORD0092"/>
    <x v="74"/>
    <x v="0"/>
    <x v="7"/>
    <s v="Electronics"/>
    <n v="9"/>
    <x v="91"/>
    <n v="982.98"/>
    <n v="0.21045757791156747"/>
  </r>
  <r>
    <s v="ORD0093"/>
    <x v="8"/>
    <x v="2"/>
    <x v="7"/>
    <s v="Electronics"/>
    <n v="4"/>
    <x v="92"/>
    <n v="2664.53"/>
    <n v="9.6659069217561899E-2"/>
  </r>
  <r>
    <s v="ORD0094"/>
    <x v="54"/>
    <x v="3"/>
    <x v="7"/>
    <s v="Electronics"/>
    <n v="10"/>
    <x v="93"/>
    <n v="4934.63"/>
    <n v="0.10403079458080142"/>
  </r>
  <r>
    <s v="ORD0095"/>
    <x v="66"/>
    <x v="3"/>
    <x v="7"/>
    <s v="Electronics"/>
    <n v="3"/>
    <x v="94"/>
    <n v="10162.61"/>
    <n v="0.20840027019456225"/>
  </r>
  <r>
    <s v="ORD0096"/>
    <x v="75"/>
    <x v="3"/>
    <x v="2"/>
    <s v="Electronics"/>
    <n v="2"/>
    <x v="95"/>
    <n v="1733.99"/>
    <n v="0.10970454257876756"/>
  </r>
  <r>
    <s v="ORD0097"/>
    <x v="76"/>
    <x v="0"/>
    <x v="6"/>
    <s v="Furniture"/>
    <n v="7"/>
    <x v="96"/>
    <n v="1189.06"/>
    <n v="6.0316858040861204E-2"/>
  </r>
  <r>
    <s v="ORD0098"/>
    <x v="77"/>
    <x v="3"/>
    <x v="2"/>
    <s v="Electronics"/>
    <n v="9"/>
    <x v="97"/>
    <n v="10334.92"/>
    <n v="0.18750790360549555"/>
  </r>
  <r>
    <s v="ORD0099"/>
    <x v="78"/>
    <x v="1"/>
    <x v="4"/>
    <s v="Stationery"/>
    <n v="2"/>
    <x v="98"/>
    <n v="1654.37"/>
    <n v="0.1623513502373882"/>
  </r>
  <r>
    <s v="ORD0100"/>
    <x v="79"/>
    <x v="2"/>
    <x v="0"/>
    <s v="Stationery"/>
    <n v="4"/>
    <x v="99"/>
    <n v="3937.21"/>
    <n v="0.18883863479395291"/>
  </r>
  <r>
    <s v="ORD0101"/>
    <x v="80"/>
    <x v="0"/>
    <x v="5"/>
    <s v="Electronics"/>
    <n v="8"/>
    <x v="100"/>
    <n v="9779.06"/>
    <n v="0.19177143040920466"/>
  </r>
  <r>
    <s v="ORD0102"/>
    <x v="81"/>
    <x v="2"/>
    <x v="5"/>
    <s v="Electronics"/>
    <n v="6"/>
    <x v="101"/>
    <n v="1938.17"/>
    <n v="0.19709408332341849"/>
  </r>
  <r>
    <s v="ORD0103"/>
    <x v="56"/>
    <x v="0"/>
    <x v="0"/>
    <s v="Stationery"/>
    <n v="2"/>
    <x v="102"/>
    <n v="4062.6"/>
    <n v="0.19175092486569506"/>
  </r>
  <r>
    <s v="ORD0104"/>
    <x v="56"/>
    <x v="2"/>
    <x v="5"/>
    <s v="Electronics"/>
    <n v="3"/>
    <x v="103"/>
    <n v="2619.0300000000002"/>
    <n v="7.6772091509877821E-2"/>
  </r>
  <r>
    <s v="ORD0105"/>
    <x v="82"/>
    <x v="3"/>
    <x v="0"/>
    <s v="Stationery"/>
    <n v="4"/>
    <x v="104"/>
    <n v="3412.28"/>
    <n v="8.2284068463794241E-2"/>
  </r>
  <r>
    <s v="ORD0106"/>
    <x v="47"/>
    <x v="2"/>
    <x v="5"/>
    <s v="Electronics"/>
    <n v="8"/>
    <x v="105"/>
    <n v="1084.8800000000001"/>
    <n v="0.17014629494868386"/>
  </r>
  <r>
    <s v="ORD0107"/>
    <x v="52"/>
    <x v="0"/>
    <x v="2"/>
    <s v="Electronics"/>
    <n v="7"/>
    <x v="106"/>
    <n v="1672.18"/>
    <n v="0.13121476729149142"/>
  </r>
  <r>
    <s v="ORD0108"/>
    <x v="83"/>
    <x v="0"/>
    <x v="6"/>
    <s v="Furniture"/>
    <n v="5"/>
    <x v="107"/>
    <n v="11452.01"/>
    <n v="0.23249923055246738"/>
  </r>
  <r>
    <s v="ORD0109"/>
    <x v="56"/>
    <x v="1"/>
    <x v="5"/>
    <s v="Electronics"/>
    <n v="9"/>
    <x v="108"/>
    <n v="936.44"/>
    <n v="0.19665259665259668"/>
  </r>
  <r>
    <s v="ORD0110"/>
    <x v="84"/>
    <x v="3"/>
    <x v="6"/>
    <s v="Furniture"/>
    <n v="10"/>
    <x v="109"/>
    <n v="5108.8100000000004"/>
    <n v="8.6131575637598004E-2"/>
  </r>
  <r>
    <s v="ORD0111"/>
    <x v="17"/>
    <x v="2"/>
    <x v="7"/>
    <s v="Electronics"/>
    <n v="7"/>
    <x v="110"/>
    <n v="11772.27"/>
    <n v="0.20901848258405692"/>
  </r>
  <r>
    <s v="ORD0112"/>
    <x v="34"/>
    <x v="0"/>
    <x v="1"/>
    <s v="Furniture"/>
    <n v="8"/>
    <x v="111"/>
    <n v="5575.53"/>
    <n v="0.12552484660408206"/>
  </r>
  <r>
    <s v="ORD0113"/>
    <x v="85"/>
    <x v="1"/>
    <x v="0"/>
    <s v="Stationery"/>
    <n v="9"/>
    <x v="112"/>
    <n v="797.18"/>
    <n v="5.6920611890508607E-2"/>
  </r>
  <r>
    <s v="ORD0114"/>
    <x v="86"/>
    <x v="2"/>
    <x v="6"/>
    <s v="Furniture"/>
    <n v="4"/>
    <x v="113"/>
    <n v="4393.1400000000003"/>
    <n v="0.20722524661754363"/>
  </r>
  <r>
    <s v="ORD0115"/>
    <x v="44"/>
    <x v="1"/>
    <x v="7"/>
    <s v="Electronics"/>
    <n v="4"/>
    <x v="114"/>
    <n v="188.85"/>
    <n v="5.3987838799774722E-2"/>
  </r>
  <r>
    <s v="ORD0116"/>
    <x v="87"/>
    <x v="1"/>
    <x v="6"/>
    <s v="Furniture"/>
    <n v="2"/>
    <x v="115"/>
    <n v="5076.03"/>
    <n v="0.1268052339575215"/>
  </r>
  <r>
    <s v="ORD0117"/>
    <x v="18"/>
    <x v="3"/>
    <x v="6"/>
    <s v="Furniture"/>
    <n v="9"/>
    <x v="116"/>
    <n v="11751.97"/>
    <n v="0.20438841411090639"/>
  </r>
  <r>
    <s v="ORD0118"/>
    <x v="88"/>
    <x v="3"/>
    <x v="5"/>
    <s v="Electronics"/>
    <n v="8"/>
    <x v="117"/>
    <n v="1569.21"/>
    <n v="8.3270672003625437E-2"/>
  </r>
  <r>
    <s v="ORD0119"/>
    <x v="4"/>
    <x v="2"/>
    <x v="1"/>
    <s v="Furniture"/>
    <n v="8"/>
    <x v="118"/>
    <n v="4645"/>
    <n v="9.1717685657723411E-2"/>
  </r>
  <r>
    <s v="ORD0120"/>
    <x v="89"/>
    <x v="1"/>
    <x v="1"/>
    <s v="Furniture"/>
    <n v="1"/>
    <x v="119"/>
    <n v="1974.14"/>
    <n v="6.1303460108220575E-2"/>
  </r>
  <r>
    <s v="ORD0121"/>
    <x v="90"/>
    <x v="2"/>
    <x v="6"/>
    <s v="Furniture"/>
    <n v="3"/>
    <x v="120"/>
    <n v="7036.12"/>
    <n v="0.18102501220791689"/>
  </r>
  <r>
    <s v="ORD0122"/>
    <x v="45"/>
    <x v="2"/>
    <x v="1"/>
    <s v="Furniture"/>
    <n v="2"/>
    <x v="121"/>
    <n v="7054.31"/>
    <n v="0.22747341476957963"/>
  </r>
  <r>
    <s v="ORD0123"/>
    <x v="91"/>
    <x v="3"/>
    <x v="7"/>
    <s v="Electronics"/>
    <n v="5"/>
    <x v="122"/>
    <n v="3844.51"/>
    <n v="0.12721955267941318"/>
  </r>
  <r>
    <s v="ORD0124"/>
    <x v="92"/>
    <x v="1"/>
    <x v="7"/>
    <s v="Electronics"/>
    <n v="8"/>
    <x v="123"/>
    <n v="12604.93"/>
    <n v="0.24294112851358329"/>
  </r>
  <r>
    <s v="ORD0125"/>
    <x v="93"/>
    <x v="0"/>
    <x v="7"/>
    <s v="Electronics"/>
    <n v="6"/>
    <x v="124"/>
    <n v="9302.35"/>
    <n v="0.23938265171546394"/>
  </r>
  <r>
    <s v="ORD0126"/>
    <x v="75"/>
    <x v="3"/>
    <x v="4"/>
    <s v="Stationery"/>
    <n v="9"/>
    <x v="125"/>
    <n v="3610.83"/>
    <n v="0.14364824851083738"/>
  </r>
  <r>
    <s v="ORD0127"/>
    <x v="79"/>
    <x v="2"/>
    <x v="5"/>
    <s v="Electronics"/>
    <n v="2"/>
    <x v="126"/>
    <n v="908.58"/>
    <n v="0.18725693263672055"/>
  </r>
  <r>
    <s v="ORD0128"/>
    <x v="94"/>
    <x v="1"/>
    <x v="0"/>
    <s v="Stationery"/>
    <n v="3"/>
    <x v="127"/>
    <n v="10643.09"/>
    <n v="0.22750628880805926"/>
  </r>
  <r>
    <s v="ORD0129"/>
    <x v="95"/>
    <x v="2"/>
    <x v="4"/>
    <s v="Stationery"/>
    <n v="5"/>
    <x v="128"/>
    <n v="1999.64"/>
    <n v="0.23857127347218299"/>
  </r>
  <r>
    <s v="ORD0130"/>
    <x v="80"/>
    <x v="3"/>
    <x v="7"/>
    <s v="Electronics"/>
    <n v="3"/>
    <x v="129"/>
    <n v="166.03"/>
    <n v="0.20034511053190462"/>
  </r>
  <r>
    <s v="ORD0131"/>
    <x v="92"/>
    <x v="0"/>
    <x v="4"/>
    <s v="Stationery"/>
    <n v="3"/>
    <x v="130"/>
    <n v="4880.0200000000004"/>
    <n v="0.11508802547019634"/>
  </r>
  <r>
    <s v="ORD0132"/>
    <x v="82"/>
    <x v="3"/>
    <x v="3"/>
    <s v="Furniture"/>
    <n v="2"/>
    <x v="131"/>
    <n v="1070.94"/>
    <n v="8.2994092442464681E-2"/>
  </r>
  <r>
    <s v="ORD0133"/>
    <x v="26"/>
    <x v="1"/>
    <x v="6"/>
    <s v="Furniture"/>
    <n v="2"/>
    <x v="132"/>
    <n v="11220.29"/>
    <n v="0.20483219893548429"/>
  </r>
  <r>
    <s v="ORD0134"/>
    <x v="32"/>
    <x v="3"/>
    <x v="2"/>
    <s v="Electronics"/>
    <n v="3"/>
    <x v="133"/>
    <n v="3478.07"/>
    <n v="7.1517342092352165E-2"/>
  </r>
  <r>
    <s v="ORD0135"/>
    <x v="72"/>
    <x v="2"/>
    <x v="1"/>
    <s v="Furniture"/>
    <n v="9"/>
    <x v="134"/>
    <n v="11417.05"/>
    <n v="0.19922213493580493"/>
  </r>
  <r>
    <s v="ORD0136"/>
    <x v="96"/>
    <x v="1"/>
    <x v="6"/>
    <s v="Furniture"/>
    <n v="7"/>
    <x v="135"/>
    <n v="2873.7"/>
    <n v="0.12303167304580132"/>
  </r>
  <r>
    <s v="ORD0137"/>
    <x v="29"/>
    <x v="1"/>
    <x v="7"/>
    <s v="Electronics"/>
    <n v="6"/>
    <x v="136"/>
    <n v="371.21"/>
    <n v="8.3679546627773549E-2"/>
  </r>
  <r>
    <s v="ORD0138"/>
    <x v="68"/>
    <x v="3"/>
    <x v="2"/>
    <s v="Electronics"/>
    <n v="6"/>
    <x v="137"/>
    <n v="272.83"/>
    <n v="0.13371463298683092"/>
  </r>
  <r>
    <s v="ORD0139"/>
    <x v="26"/>
    <x v="2"/>
    <x v="0"/>
    <s v="Stationery"/>
    <n v="2"/>
    <x v="138"/>
    <n v="4974.53"/>
    <n v="0.22928549732459613"/>
  </r>
  <r>
    <s v="ORD0140"/>
    <x v="45"/>
    <x v="1"/>
    <x v="6"/>
    <s v="Furniture"/>
    <n v="6"/>
    <x v="139"/>
    <n v="313.31"/>
    <n v="0.1959975978079998"/>
  </r>
  <r>
    <s v="ORD0141"/>
    <x v="97"/>
    <x v="3"/>
    <x v="1"/>
    <s v="Furniture"/>
    <n v="5"/>
    <x v="140"/>
    <n v="170.12"/>
    <n v="9.0403286232788996E-2"/>
  </r>
  <r>
    <s v="ORD0142"/>
    <x v="94"/>
    <x v="0"/>
    <x v="1"/>
    <s v="Furniture"/>
    <n v="1"/>
    <x v="141"/>
    <n v="3582.72"/>
    <n v="8.6200885655200787E-2"/>
  </r>
  <r>
    <s v="ORD0143"/>
    <x v="98"/>
    <x v="0"/>
    <x v="2"/>
    <s v="Electronics"/>
    <n v="9"/>
    <x v="142"/>
    <n v="7071.29"/>
    <n v="0.23938097285366572"/>
  </r>
  <r>
    <s v="ORD0144"/>
    <x v="99"/>
    <x v="0"/>
    <x v="4"/>
    <s v="Stationery"/>
    <n v="3"/>
    <x v="143"/>
    <n v="9610.51"/>
    <n v="0.21210243937966089"/>
  </r>
  <r>
    <s v="ORD0145"/>
    <x v="34"/>
    <x v="1"/>
    <x v="3"/>
    <s v="Furniture"/>
    <n v="9"/>
    <x v="144"/>
    <n v="229.33"/>
    <n v="7.3230702418244933E-2"/>
  </r>
  <r>
    <s v="ORD0146"/>
    <x v="100"/>
    <x v="3"/>
    <x v="7"/>
    <s v="Electronics"/>
    <n v="5"/>
    <x v="145"/>
    <n v="264.35000000000002"/>
    <n v="5.5783340754230443E-2"/>
  </r>
  <r>
    <s v="ORD0147"/>
    <x v="47"/>
    <x v="2"/>
    <x v="0"/>
    <s v="Stationery"/>
    <n v="10"/>
    <x v="146"/>
    <n v="2635.69"/>
    <n v="5.0211452034136378E-2"/>
  </r>
  <r>
    <s v="ORD0148"/>
    <x v="80"/>
    <x v="3"/>
    <x v="0"/>
    <s v="Stationery"/>
    <n v="3"/>
    <x v="147"/>
    <n v="1810.13"/>
    <n v="8.5813855145237816E-2"/>
  </r>
  <r>
    <s v="ORD0149"/>
    <x v="101"/>
    <x v="1"/>
    <x v="3"/>
    <s v="Furniture"/>
    <n v="2"/>
    <x v="148"/>
    <n v="5257.66"/>
    <n v="0.22988828403401762"/>
  </r>
  <r>
    <s v="ORD0150"/>
    <x v="51"/>
    <x v="1"/>
    <x v="6"/>
    <s v="Furniture"/>
    <n v="5"/>
    <x v="149"/>
    <n v="3063.31"/>
    <n v="0.17145503748625224"/>
  </r>
  <r>
    <s v="ORD0151"/>
    <x v="84"/>
    <x v="1"/>
    <x v="3"/>
    <s v="Furniture"/>
    <n v="9"/>
    <x v="150"/>
    <n v="302.2"/>
    <n v="0.13139987390481989"/>
  </r>
  <r>
    <s v="ORD0152"/>
    <x v="54"/>
    <x v="1"/>
    <x v="4"/>
    <s v="Stationery"/>
    <n v="4"/>
    <x v="151"/>
    <n v="8629.58"/>
    <n v="0.23145034974037676"/>
  </r>
  <r>
    <s v="ORD0153"/>
    <x v="84"/>
    <x v="3"/>
    <x v="1"/>
    <s v="Furniture"/>
    <n v="8"/>
    <x v="152"/>
    <n v="6220.75"/>
    <n v="0.24051445329188634"/>
  </r>
  <r>
    <s v="ORD0154"/>
    <x v="88"/>
    <x v="2"/>
    <x v="4"/>
    <s v="Stationery"/>
    <n v="4"/>
    <x v="153"/>
    <n v="4659.76"/>
    <n v="0.13792850317962296"/>
  </r>
  <r>
    <s v="ORD0155"/>
    <x v="39"/>
    <x v="0"/>
    <x v="5"/>
    <s v="Electronics"/>
    <n v="1"/>
    <x v="154"/>
    <n v="8522.43"/>
    <n v="0.15990983806802936"/>
  </r>
  <r>
    <s v="ORD0156"/>
    <x v="102"/>
    <x v="2"/>
    <x v="7"/>
    <s v="Electronics"/>
    <n v="1"/>
    <x v="155"/>
    <n v="4374.1099999999997"/>
    <n v="0.19924349502746475"/>
  </r>
  <r>
    <s v="ORD0157"/>
    <x v="24"/>
    <x v="1"/>
    <x v="0"/>
    <s v="Stationery"/>
    <n v="5"/>
    <x v="156"/>
    <n v="5343.22"/>
    <n v="0.13254962840250661"/>
  </r>
  <r>
    <s v="ORD0158"/>
    <x v="33"/>
    <x v="2"/>
    <x v="0"/>
    <s v="Stationery"/>
    <n v="2"/>
    <x v="157"/>
    <n v="847.15"/>
    <n v="9.8532967806244279E-2"/>
  </r>
  <r>
    <s v="ORD0159"/>
    <x v="58"/>
    <x v="0"/>
    <x v="5"/>
    <s v="Electronics"/>
    <n v="2"/>
    <x v="158"/>
    <n v="1830.59"/>
    <n v="0.11559893152812947"/>
  </r>
  <r>
    <s v="ORD0160"/>
    <x v="19"/>
    <x v="2"/>
    <x v="5"/>
    <s v="Electronics"/>
    <n v="6"/>
    <x v="159"/>
    <n v="1833.38"/>
    <n v="0.16068016813144823"/>
  </r>
  <r>
    <s v="ORD0161"/>
    <x v="3"/>
    <x v="2"/>
    <x v="1"/>
    <s v="Furniture"/>
    <n v="7"/>
    <x v="160"/>
    <n v="1185.55"/>
    <n v="7.6135938179326443E-2"/>
  </r>
  <r>
    <s v="ORD0162"/>
    <x v="20"/>
    <x v="0"/>
    <x v="6"/>
    <s v="Furniture"/>
    <n v="4"/>
    <x v="161"/>
    <n v="6611.94"/>
    <n v="0.13580473353214023"/>
  </r>
  <r>
    <s v="ORD0163"/>
    <x v="40"/>
    <x v="3"/>
    <x v="0"/>
    <s v="Stationery"/>
    <n v="4"/>
    <x v="162"/>
    <n v="797.21"/>
    <n v="0.16720429205433024"/>
  </r>
  <r>
    <s v="ORD0164"/>
    <x v="103"/>
    <x v="0"/>
    <x v="4"/>
    <s v="Stationery"/>
    <n v="5"/>
    <x v="163"/>
    <n v="1393.17"/>
    <n v="8.4654853297004451E-2"/>
  </r>
  <r>
    <s v="ORD0165"/>
    <x v="104"/>
    <x v="1"/>
    <x v="2"/>
    <s v="Electronics"/>
    <n v="10"/>
    <x v="164"/>
    <n v="3952.24"/>
    <n v="0.23185855140617309"/>
  </r>
  <r>
    <s v="ORD0166"/>
    <x v="43"/>
    <x v="1"/>
    <x v="5"/>
    <s v="Electronics"/>
    <n v="9"/>
    <x v="165"/>
    <n v="2235.6"/>
    <n v="0.12215592420169168"/>
  </r>
  <r>
    <s v="ORD0167"/>
    <x v="105"/>
    <x v="3"/>
    <x v="5"/>
    <s v="Electronics"/>
    <n v="3"/>
    <x v="166"/>
    <n v="6014.57"/>
    <n v="0.18149751739513278"/>
  </r>
  <r>
    <s v="ORD0168"/>
    <x v="3"/>
    <x v="1"/>
    <x v="0"/>
    <s v="Stationery"/>
    <n v="3"/>
    <x v="167"/>
    <n v="1284.8399999999999"/>
    <n v="7.463118310673994E-2"/>
  </r>
  <r>
    <s v="ORD0169"/>
    <x v="106"/>
    <x v="0"/>
    <x v="2"/>
    <s v="Electronics"/>
    <n v="3"/>
    <x v="168"/>
    <n v="1929.85"/>
    <n v="0.11631109670000374"/>
  </r>
  <r>
    <s v="ORD0170"/>
    <x v="107"/>
    <x v="0"/>
    <x v="0"/>
    <s v="Stationery"/>
    <n v="3"/>
    <x v="169"/>
    <n v="9697.02"/>
    <n v="0.21760112810367641"/>
  </r>
  <r>
    <s v="ORD0171"/>
    <x v="100"/>
    <x v="2"/>
    <x v="1"/>
    <s v="Furniture"/>
    <n v="6"/>
    <x v="170"/>
    <n v="7731.88"/>
    <n v="0.18698983293509913"/>
  </r>
  <r>
    <s v="ORD0172"/>
    <x v="78"/>
    <x v="2"/>
    <x v="7"/>
    <s v="Electronics"/>
    <n v="5"/>
    <x v="171"/>
    <n v="6194.93"/>
    <n v="0.10986337771544727"/>
  </r>
  <r>
    <s v="ORD0173"/>
    <x v="108"/>
    <x v="0"/>
    <x v="0"/>
    <s v="Stationery"/>
    <n v="10"/>
    <x v="172"/>
    <n v="4418.0600000000004"/>
    <n v="0.10446223604314341"/>
  </r>
  <r>
    <s v="ORD0174"/>
    <x v="0"/>
    <x v="1"/>
    <x v="0"/>
    <s v="Stationery"/>
    <n v="8"/>
    <x v="173"/>
    <n v="1413.48"/>
    <n v="0.14261786951011809"/>
  </r>
  <r>
    <s v="ORD0175"/>
    <x v="90"/>
    <x v="3"/>
    <x v="2"/>
    <s v="Electronics"/>
    <n v="4"/>
    <x v="174"/>
    <n v="4175.09"/>
    <n v="0.13097775057542696"/>
  </r>
  <r>
    <s v="ORD0176"/>
    <x v="60"/>
    <x v="1"/>
    <x v="6"/>
    <s v="Furniture"/>
    <n v="5"/>
    <x v="175"/>
    <n v="3998.89"/>
    <n v="0.24920994100186522"/>
  </r>
  <r>
    <s v="ORD0177"/>
    <x v="109"/>
    <x v="0"/>
    <x v="5"/>
    <s v="Electronics"/>
    <n v="6"/>
    <x v="176"/>
    <n v="8668.84"/>
    <n v="0.17836359644764102"/>
  </r>
  <r>
    <s v="ORD0178"/>
    <x v="95"/>
    <x v="3"/>
    <x v="4"/>
    <s v="Stationery"/>
    <n v="2"/>
    <x v="177"/>
    <n v="4562.22"/>
    <n v="0.11817052256463775"/>
  </r>
  <r>
    <s v="ORD0179"/>
    <x v="110"/>
    <x v="3"/>
    <x v="3"/>
    <s v="Furniture"/>
    <n v="6"/>
    <x v="178"/>
    <n v="11093.21"/>
    <n v="0.21634966342886175"/>
  </r>
  <r>
    <s v="ORD0180"/>
    <x v="111"/>
    <x v="2"/>
    <x v="1"/>
    <s v="Furniture"/>
    <n v="10"/>
    <x v="179"/>
    <n v="10054"/>
    <n v="0.17616094248732453"/>
  </r>
  <r>
    <s v="ORD0181"/>
    <x v="112"/>
    <x v="1"/>
    <x v="3"/>
    <s v="Furniture"/>
    <n v="5"/>
    <x v="180"/>
    <n v="4599.3599999999997"/>
    <n v="0.16296137773963792"/>
  </r>
  <r>
    <s v="ORD0182"/>
    <x v="0"/>
    <x v="1"/>
    <x v="3"/>
    <s v="Furniture"/>
    <n v="3"/>
    <x v="181"/>
    <n v="7559.58"/>
    <n v="0.20841583585183124"/>
  </r>
  <r>
    <s v="ORD0183"/>
    <x v="90"/>
    <x v="0"/>
    <x v="6"/>
    <s v="Furniture"/>
    <n v="2"/>
    <x v="182"/>
    <n v="2585.58"/>
    <n v="0.15583931839058013"/>
  </r>
  <r>
    <s v="ORD0184"/>
    <x v="113"/>
    <x v="1"/>
    <x v="4"/>
    <s v="Stationery"/>
    <n v="3"/>
    <x v="183"/>
    <n v="4191.32"/>
    <n v="9.6860870479564501E-2"/>
  </r>
  <r>
    <s v="ORD0185"/>
    <x v="114"/>
    <x v="2"/>
    <x v="3"/>
    <s v="Furniture"/>
    <n v="2"/>
    <x v="184"/>
    <n v="2120.71"/>
    <n v="5.2761684355402148E-2"/>
  </r>
  <r>
    <s v="ORD0186"/>
    <x v="115"/>
    <x v="1"/>
    <x v="3"/>
    <s v="Furniture"/>
    <n v="10"/>
    <x v="185"/>
    <n v="14277.82"/>
    <n v="0.2387081177164517"/>
  </r>
  <r>
    <s v="ORD0187"/>
    <x v="108"/>
    <x v="1"/>
    <x v="7"/>
    <s v="Electronics"/>
    <n v="10"/>
    <x v="186"/>
    <n v="6366.2"/>
    <n v="0.21708366836004339"/>
  </r>
  <r>
    <s v="ORD0188"/>
    <x v="0"/>
    <x v="1"/>
    <x v="7"/>
    <s v="Electronics"/>
    <n v="5"/>
    <x v="187"/>
    <n v="1764.5"/>
    <n v="0.17833500096014879"/>
  </r>
  <r>
    <s v="ORD0189"/>
    <x v="22"/>
    <x v="3"/>
    <x v="2"/>
    <s v="Electronics"/>
    <n v="9"/>
    <x v="188"/>
    <n v="503.13"/>
    <n v="7.46503615823568E-2"/>
  </r>
  <r>
    <s v="ORD0190"/>
    <x v="26"/>
    <x v="0"/>
    <x v="5"/>
    <s v="Electronics"/>
    <n v="8"/>
    <x v="189"/>
    <n v="4321.3999999999996"/>
    <n v="0.20810659310812449"/>
  </r>
  <r>
    <s v="ORD0191"/>
    <x v="116"/>
    <x v="2"/>
    <x v="4"/>
    <s v="Stationery"/>
    <n v="10"/>
    <x v="190"/>
    <n v="4410.1400000000003"/>
    <n v="0.23069362296233645"/>
  </r>
  <r>
    <s v="ORD0192"/>
    <x v="117"/>
    <x v="0"/>
    <x v="4"/>
    <s v="Stationery"/>
    <n v="3"/>
    <x v="191"/>
    <n v="8951.5300000000007"/>
    <n v="0.21053694915190455"/>
  </r>
  <r>
    <s v="ORD0193"/>
    <x v="65"/>
    <x v="2"/>
    <x v="0"/>
    <s v="Stationery"/>
    <n v="10"/>
    <x v="192"/>
    <n v="4705.41"/>
    <n v="0.1178227354277494"/>
  </r>
  <r>
    <s v="ORD0194"/>
    <x v="118"/>
    <x v="3"/>
    <x v="1"/>
    <s v="Furniture"/>
    <n v="10"/>
    <x v="193"/>
    <n v="3778.5"/>
    <n v="7.1008419153574379E-2"/>
  </r>
  <r>
    <s v="ORD0195"/>
    <x v="119"/>
    <x v="1"/>
    <x v="6"/>
    <s v="Furniture"/>
    <n v="5"/>
    <x v="194"/>
    <n v="5867.28"/>
    <n v="0.20726893901525281"/>
  </r>
  <r>
    <s v="ORD0196"/>
    <x v="120"/>
    <x v="3"/>
    <x v="7"/>
    <s v="Electronics"/>
    <n v="5"/>
    <x v="195"/>
    <n v="8108.51"/>
    <n v="0.24433496735374272"/>
  </r>
  <r>
    <s v="ORD0197"/>
    <x v="2"/>
    <x v="0"/>
    <x v="2"/>
    <s v="Electronics"/>
    <n v="9"/>
    <x v="196"/>
    <n v="2021.52"/>
    <n v="0.19224613348016739"/>
  </r>
  <r>
    <s v="ORD0198"/>
    <x v="19"/>
    <x v="3"/>
    <x v="0"/>
    <s v="Stationery"/>
    <n v="7"/>
    <x v="197"/>
    <n v="8423.0300000000007"/>
    <n v="0.21385869482424705"/>
  </r>
  <r>
    <s v="ORD0199"/>
    <x v="121"/>
    <x v="3"/>
    <x v="7"/>
    <s v="Electronics"/>
    <n v="2"/>
    <x v="198"/>
    <n v="1214.03"/>
    <n v="7.0592250860285463E-2"/>
  </r>
  <r>
    <s v="ORD0200"/>
    <x v="122"/>
    <x v="2"/>
    <x v="0"/>
    <s v="Stationery"/>
    <n v="3"/>
    <x v="199"/>
    <n v="11865.86"/>
    <n v="0.24571367868529828"/>
  </r>
  <r>
    <s v="ORD0201"/>
    <x v="8"/>
    <x v="3"/>
    <x v="5"/>
    <s v="Electronics"/>
    <n v="8"/>
    <x v="200"/>
    <n v="8175.9"/>
    <n v="0.18791979937201472"/>
  </r>
  <r>
    <s v="ORD0202"/>
    <x v="72"/>
    <x v="2"/>
    <x v="6"/>
    <s v="Furniture"/>
    <n v="10"/>
    <x v="201"/>
    <n v="1232.7"/>
    <n v="0.1600019729293328"/>
  </r>
  <r>
    <s v="ORD0203"/>
    <x v="99"/>
    <x v="3"/>
    <x v="7"/>
    <s v="Electronics"/>
    <n v="2"/>
    <x v="202"/>
    <n v="2418.06"/>
    <n v="9.4926094528027222E-2"/>
  </r>
  <r>
    <s v="ORD0204"/>
    <x v="41"/>
    <x v="2"/>
    <x v="4"/>
    <s v="Stationery"/>
    <n v="1"/>
    <x v="203"/>
    <n v="693.36"/>
    <n v="7.7031868858287181E-2"/>
  </r>
  <r>
    <s v="ORD0205"/>
    <x v="43"/>
    <x v="2"/>
    <x v="4"/>
    <s v="Stationery"/>
    <n v="4"/>
    <x v="204"/>
    <n v="14457.2"/>
    <n v="0.24690358631165099"/>
  </r>
  <r>
    <s v="ORD0206"/>
    <x v="123"/>
    <x v="2"/>
    <x v="1"/>
    <s v="Furniture"/>
    <n v="1"/>
    <x v="205"/>
    <n v="1448.23"/>
    <n v="7.6677003358321769E-2"/>
  </r>
  <r>
    <s v="ORD0207"/>
    <x v="42"/>
    <x v="1"/>
    <x v="1"/>
    <s v="Furniture"/>
    <n v="7"/>
    <x v="206"/>
    <n v="5413.26"/>
    <n v="0.2329862164692211"/>
  </r>
  <r>
    <s v="ORD0208"/>
    <x v="17"/>
    <x v="0"/>
    <x v="6"/>
    <s v="Furniture"/>
    <n v="8"/>
    <x v="207"/>
    <n v="4239.96"/>
    <n v="0.21228819796662038"/>
  </r>
  <r>
    <s v="ORD0209"/>
    <x v="124"/>
    <x v="2"/>
    <x v="4"/>
    <s v="Stationery"/>
    <n v="9"/>
    <x v="208"/>
    <n v="5914.07"/>
    <n v="0.15576623226119113"/>
  </r>
  <r>
    <s v="ORD0210"/>
    <x v="112"/>
    <x v="2"/>
    <x v="0"/>
    <s v="Stationery"/>
    <n v="5"/>
    <x v="209"/>
    <n v="1441.83"/>
    <n v="8.282566473709517E-2"/>
  </r>
  <r>
    <s v="ORD0211"/>
    <x v="16"/>
    <x v="0"/>
    <x v="1"/>
    <s v="Furniture"/>
    <n v="1"/>
    <x v="210"/>
    <n v="9386.32"/>
    <n v="0.19131161798333124"/>
  </r>
  <r>
    <s v="ORD0212"/>
    <x v="66"/>
    <x v="1"/>
    <x v="6"/>
    <s v="Furniture"/>
    <n v="5"/>
    <x v="211"/>
    <n v="5557.2"/>
    <n v="0.20672007642080995"/>
  </r>
  <r>
    <s v="ORD0213"/>
    <x v="125"/>
    <x v="2"/>
    <x v="1"/>
    <s v="Furniture"/>
    <n v="3"/>
    <x v="212"/>
    <n v="1259.55"/>
    <n v="0.18569107656743877"/>
  </r>
  <r>
    <s v="ORD0214"/>
    <x v="46"/>
    <x v="0"/>
    <x v="1"/>
    <s v="Furniture"/>
    <n v="1"/>
    <x v="213"/>
    <n v="2866.7"/>
    <n v="9.7135869250315199E-2"/>
  </r>
  <r>
    <s v="ORD0215"/>
    <x v="64"/>
    <x v="1"/>
    <x v="0"/>
    <s v="Stationery"/>
    <n v="4"/>
    <x v="214"/>
    <n v="8420.77"/>
    <n v="0.24510753910373939"/>
  </r>
  <r>
    <s v="ORD0216"/>
    <x v="126"/>
    <x v="2"/>
    <x v="6"/>
    <s v="Furniture"/>
    <n v="6"/>
    <x v="215"/>
    <n v="1861.69"/>
    <n v="0.12277985046327104"/>
  </r>
  <r>
    <s v="ORD0217"/>
    <x v="97"/>
    <x v="2"/>
    <x v="3"/>
    <s v="Furniture"/>
    <n v="3"/>
    <x v="216"/>
    <n v="9806.92"/>
    <n v="0.23539052295190335"/>
  </r>
  <r>
    <s v="ORD0218"/>
    <x v="80"/>
    <x v="3"/>
    <x v="5"/>
    <s v="Electronics"/>
    <n v="6"/>
    <x v="217"/>
    <n v="923"/>
    <n v="9.4024216074371822E-2"/>
  </r>
  <r>
    <s v="ORD0219"/>
    <x v="127"/>
    <x v="1"/>
    <x v="0"/>
    <s v="Stationery"/>
    <n v="2"/>
    <x v="218"/>
    <n v="2449.0300000000002"/>
    <n v="0.18437256503589164"/>
  </r>
  <r>
    <s v="ORD0220"/>
    <x v="128"/>
    <x v="3"/>
    <x v="6"/>
    <s v="Furniture"/>
    <n v="7"/>
    <x v="219"/>
    <n v="649.65"/>
    <n v="0.16167646787997639"/>
  </r>
  <r>
    <s v="ORD0221"/>
    <x v="105"/>
    <x v="1"/>
    <x v="6"/>
    <s v="Furniture"/>
    <n v="3"/>
    <x v="220"/>
    <n v="9954.2800000000007"/>
    <n v="0.16782924857469703"/>
  </r>
  <r>
    <s v="ORD0222"/>
    <x v="21"/>
    <x v="0"/>
    <x v="6"/>
    <s v="Furniture"/>
    <n v="3"/>
    <x v="221"/>
    <n v="3984.56"/>
    <n v="0.12817658088771039"/>
  </r>
  <r>
    <s v="ORD0223"/>
    <x v="129"/>
    <x v="2"/>
    <x v="1"/>
    <s v="Furniture"/>
    <n v="5"/>
    <x v="222"/>
    <n v="11321.78"/>
    <n v="0.20599492917308407"/>
  </r>
  <r>
    <s v="ORD0224"/>
    <x v="130"/>
    <x v="1"/>
    <x v="3"/>
    <s v="Furniture"/>
    <n v="4"/>
    <x v="223"/>
    <n v="162.94999999999999"/>
    <n v="0.13782691071488987"/>
  </r>
  <r>
    <s v="ORD0225"/>
    <x v="57"/>
    <x v="2"/>
    <x v="3"/>
    <s v="Furniture"/>
    <n v="6"/>
    <x v="224"/>
    <n v="9494.64"/>
    <n v="0.18923656543837281"/>
  </r>
  <r>
    <s v="ORD0226"/>
    <x v="45"/>
    <x v="1"/>
    <x v="0"/>
    <s v="Stationery"/>
    <n v="9"/>
    <x v="225"/>
    <n v="1944.48"/>
    <n v="0.12020043296091112"/>
  </r>
  <r>
    <s v="ORD0227"/>
    <x v="119"/>
    <x v="3"/>
    <x v="2"/>
    <s v="Electronics"/>
    <n v="2"/>
    <x v="226"/>
    <n v="3125.67"/>
    <n v="0.15967858609760735"/>
  </r>
  <r>
    <s v="ORD0228"/>
    <x v="131"/>
    <x v="2"/>
    <x v="3"/>
    <s v="Furniture"/>
    <n v="10"/>
    <x v="227"/>
    <n v="5947.49"/>
    <n v="0.13735466593256759"/>
  </r>
  <r>
    <s v="ORD0229"/>
    <x v="60"/>
    <x v="1"/>
    <x v="5"/>
    <s v="Electronics"/>
    <n v="9"/>
    <x v="228"/>
    <n v="1701.7"/>
    <n v="0.18826072622595713"/>
  </r>
  <r>
    <s v="ORD0230"/>
    <x v="37"/>
    <x v="3"/>
    <x v="4"/>
    <s v="Stationery"/>
    <n v="5"/>
    <x v="229"/>
    <n v="4435.45"/>
    <n v="0.20363952069910826"/>
  </r>
  <r>
    <s v="ORD0231"/>
    <x v="14"/>
    <x v="0"/>
    <x v="3"/>
    <s v="Furniture"/>
    <n v="10"/>
    <x v="230"/>
    <n v="5842.38"/>
    <n v="0.11597930930297237"/>
  </r>
  <r>
    <s v="ORD0232"/>
    <x v="55"/>
    <x v="2"/>
    <x v="1"/>
    <s v="Furniture"/>
    <n v="7"/>
    <x v="231"/>
    <n v="2518.73"/>
    <n v="6.4454374513149684E-2"/>
  </r>
  <r>
    <s v="ORD0233"/>
    <x v="94"/>
    <x v="0"/>
    <x v="2"/>
    <s v="Electronics"/>
    <n v="8"/>
    <x v="232"/>
    <n v="8824.08"/>
    <n v="0.2403126214454194"/>
  </r>
  <r>
    <s v="ORD0234"/>
    <x v="132"/>
    <x v="3"/>
    <x v="4"/>
    <s v="Stationery"/>
    <n v="6"/>
    <x v="233"/>
    <n v="2755.77"/>
    <n v="9.6997405208449197E-2"/>
  </r>
  <r>
    <s v="ORD0235"/>
    <x v="86"/>
    <x v="3"/>
    <x v="4"/>
    <s v="Stationery"/>
    <n v="10"/>
    <x v="234"/>
    <n v="8375.25"/>
    <n v="0.23291193521932138"/>
  </r>
  <r>
    <s v="ORD0236"/>
    <x v="30"/>
    <x v="2"/>
    <x v="6"/>
    <s v="Furniture"/>
    <n v="9"/>
    <x v="235"/>
    <n v="7722.13"/>
    <n v="0.2393589800416655"/>
  </r>
  <r>
    <s v="ORD0237"/>
    <x v="117"/>
    <x v="1"/>
    <x v="5"/>
    <s v="Electronics"/>
    <n v="1"/>
    <x v="236"/>
    <n v="5631.93"/>
    <n v="0.24828322273159906"/>
  </r>
  <r>
    <s v="ORD0238"/>
    <x v="111"/>
    <x v="1"/>
    <x v="0"/>
    <s v="Stationery"/>
    <n v="3"/>
    <x v="237"/>
    <n v="7967.29"/>
    <n v="0.15906479613115471"/>
  </r>
  <r>
    <s v="ORD0239"/>
    <x v="71"/>
    <x v="2"/>
    <x v="3"/>
    <s v="Furniture"/>
    <n v="9"/>
    <x v="238"/>
    <n v="5691.21"/>
    <n v="0.14874819331585676"/>
  </r>
  <r>
    <s v="ORD0240"/>
    <x v="27"/>
    <x v="2"/>
    <x v="6"/>
    <s v="Furniture"/>
    <n v="9"/>
    <x v="239"/>
    <n v="501.64"/>
    <n v="0.1160572373824424"/>
  </r>
  <r>
    <s v="ORD0241"/>
    <x v="133"/>
    <x v="3"/>
    <x v="5"/>
    <s v="Electronics"/>
    <n v="5"/>
    <x v="240"/>
    <n v="3574.32"/>
    <n v="0.23144479460951559"/>
  </r>
  <r>
    <s v="ORD0242"/>
    <x v="134"/>
    <x v="3"/>
    <x v="3"/>
    <s v="Furniture"/>
    <n v="8"/>
    <x v="241"/>
    <n v="794.44"/>
    <n v="0.17604031173343557"/>
  </r>
  <r>
    <s v="ORD0243"/>
    <x v="135"/>
    <x v="3"/>
    <x v="0"/>
    <s v="Stationery"/>
    <n v="4"/>
    <x v="242"/>
    <n v="5423.51"/>
    <n v="0.12499487207379789"/>
  </r>
  <r>
    <s v="ORD0244"/>
    <x v="3"/>
    <x v="3"/>
    <x v="5"/>
    <s v="Electronics"/>
    <n v="9"/>
    <x v="243"/>
    <n v="7791.96"/>
    <n v="0.24083786786921374"/>
  </r>
  <r>
    <s v="ORD0245"/>
    <x v="100"/>
    <x v="3"/>
    <x v="3"/>
    <s v="Furniture"/>
    <n v="3"/>
    <x v="244"/>
    <n v="7149.26"/>
    <n v="0.1504230164724992"/>
  </r>
  <r>
    <s v="ORD0246"/>
    <x v="136"/>
    <x v="1"/>
    <x v="6"/>
    <s v="Furniture"/>
    <n v="6"/>
    <x v="245"/>
    <n v="8678.18"/>
    <n v="0.24098665298197441"/>
  </r>
  <r>
    <s v="ORD0247"/>
    <x v="68"/>
    <x v="2"/>
    <x v="2"/>
    <s v="Electronics"/>
    <n v="8"/>
    <x v="246"/>
    <n v="2463.77"/>
    <n v="9.9325379035873351E-2"/>
  </r>
  <r>
    <s v="ORD0248"/>
    <x v="56"/>
    <x v="3"/>
    <x v="4"/>
    <s v="Stationery"/>
    <n v="4"/>
    <x v="247"/>
    <n v="1267.24"/>
    <n v="0.10273630550114797"/>
  </r>
  <r>
    <s v="ORD0249"/>
    <x v="137"/>
    <x v="1"/>
    <x v="0"/>
    <s v="Stationery"/>
    <n v="1"/>
    <x v="248"/>
    <n v="2796.9"/>
    <n v="0.16498733793411008"/>
  </r>
  <r>
    <s v="ORD0250"/>
    <x v="112"/>
    <x v="2"/>
    <x v="3"/>
    <s v="Furniture"/>
    <n v="1"/>
    <x v="249"/>
    <n v="162.05000000000001"/>
    <n v="0.131095686502928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0001"/>
    <d v="2026-05-15T00:00:00"/>
    <x v="0"/>
    <s v="Notebook"/>
    <s v="Stationery"/>
    <n v="3"/>
    <x v="0"/>
    <x v="0"/>
    <n v="0.1164683272467866"/>
    <s v="High"/>
  </r>
  <r>
    <s v="ORD0002"/>
    <d v="2026-05-19T00:00:00"/>
    <x v="1"/>
    <s v="Desk"/>
    <s v="Furniture"/>
    <n v="4"/>
    <x v="1"/>
    <x v="1"/>
    <n v="0.15941192557404613"/>
    <s v="High"/>
  </r>
  <r>
    <s v="ORD0003"/>
    <d v="2026-01-28T00:00:00"/>
    <x v="2"/>
    <s v="Laptop"/>
    <s v="Electronics"/>
    <n v="7"/>
    <x v="2"/>
    <x v="2"/>
    <n v="0.19636374261059594"/>
    <s v="High"/>
  </r>
  <r>
    <s v="ORD0004"/>
    <d v="2026-05-06T00:00:00"/>
    <x v="1"/>
    <s v="Office Chair"/>
    <s v="Furniture"/>
    <n v="9"/>
    <x v="3"/>
    <x v="3"/>
    <n v="0.21299144866269618"/>
    <s v="High"/>
  </r>
  <r>
    <s v="ORD0005"/>
    <d v="2026-02-24T00:00:00"/>
    <x v="2"/>
    <s v="Pen Set"/>
    <s v="Stationery"/>
    <n v="5"/>
    <x v="4"/>
    <x v="4"/>
    <n v="0.19290692675744645"/>
    <s v="High"/>
  </r>
  <r>
    <s v="ORD0006"/>
    <d v="2026-04-20T00:00:00"/>
    <x v="3"/>
    <s v="Laptop"/>
    <s v="Electronics"/>
    <n v="9"/>
    <x v="5"/>
    <x v="5"/>
    <n v="0.11244445274202863"/>
    <s v="High"/>
  </r>
  <r>
    <s v="ORD0007"/>
    <d v="2026-06-09T00:00:00"/>
    <x v="3"/>
    <s v="Notebook"/>
    <s v="Stationery"/>
    <n v="5"/>
    <x v="6"/>
    <x v="6"/>
    <n v="0.11773359143464733"/>
    <s v="Medium"/>
  </r>
  <r>
    <s v="ORD0008"/>
    <d v="2026-02-10T00:00:00"/>
    <x v="1"/>
    <s v="Desk"/>
    <s v="Furniture"/>
    <n v="3"/>
    <x v="7"/>
    <x v="7"/>
    <n v="6.7863001211876814E-2"/>
    <s v="High"/>
  </r>
  <r>
    <s v="ORD0009"/>
    <d v="2026-03-29T00:00:00"/>
    <x v="3"/>
    <s v="Pen Set"/>
    <s v="Stationery"/>
    <n v="1"/>
    <x v="8"/>
    <x v="8"/>
    <n v="0.1461706757768626"/>
    <s v="High"/>
  </r>
  <r>
    <s v="ORD0010"/>
    <d v="2026-02-21T00:00:00"/>
    <x v="3"/>
    <s v="Printer"/>
    <s v="Electronics"/>
    <n v="7"/>
    <x v="9"/>
    <x v="9"/>
    <n v="7.0432533995919464E-2"/>
    <s v="High"/>
  </r>
  <r>
    <s v="ORD0011"/>
    <d v="2026-06-26T00:00:00"/>
    <x v="3"/>
    <s v="Printer"/>
    <s v="Electronics"/>
    <n v="4"/>
    <x v="10"/>
    <x v="10"/>
    <n v="0.12797679201987899"/>
    <s v="Medium"/>
  </r>
  <r>
    <s v="ORD0012"/>
    <d v="2026-03-13T00:00:00"/>
    <x v="3"/>
    <s v="Cabinet"/>
    <s v="Furniture"/>
    <n v="8"/>
    <x v="11"/>
    <x v="11"/>
    <n v="0.16001128251091359"/>
    <s v="High"/>
  </r>
  <r>
    <s v="ORD0013"/>
    <d v="2026-01-17T00:00:00"/>
    <x v="3"/>
    <s v="Cabinet"/>
    <s v="Furniture"/>
    <n v="10"/>
    <x v="12"/>
    <x v="12"/>
    <n v="6.6780882807798189E-2"/>
    <s v="High"/>
  </r>
  <r>
    <s v="ORD0014"/>
    <d v="2026-03-17T00:00:00"/>
    <x v="1"/>
    <s v="Pen Set"/>
    <s v="Stationery"/>
    <n v="7"/>
    <x v="13"/>
    <x v="13"/>
    <n v="5.1626073119917043E-2"/>
    <s v="High"/>
  </r>
  <r>
    <s v="ORD0015"/>
    <d v="2026-04-30T00:00:00"/>
    <x v="0"/>
    <s v="Monitor"/>
    <s v="Electronics"/>
    <n v="2"/>
    <x v="14"/>
    <x v="14"/>
    <n v="9.1360158615827414E-2"/>
    <s v="High"/>
  </r>
  <r>
    <s v="ORD0016"/>
    <d v="2026-05-03T00:00:00"/>
    <x v="0"/>
    <s v="Office Chair"/>
    <s v="Furniture"/>
    <n v="9"/>
    <x v="15"/>
    <x v="15"/>
    <n v="0.20429882446228495"/>
    <s v="High"/>
  </r>
  <r>
    <s v="ORD0017"/>
    <d v="2026-05-04T00:00:00"/>
    <x v="0"/>
    <s v="Monitor"/>
    <s v="Electronics"/>
    <n v="10"/>
    <x v="16"/>
    <x v="16"/>
    <n v="8.0055177261768196E-2"/>
    <s v="High"/>
  </r>
  <r>
    <s v="ORD0018"/>
    <d v="2026-01-01T00:00:00"/>
    <x v="2"/>
    <s v="Laptop"/>
    <s v="Electronics"/>
    <n v="4"/>
    <x v="17"/>
    <x v="17"/>
    <n v="0.13801288251286717"/>
    <s v="High"/>
  </r>
  <r>
    <s v="ORD0019"/>
    <d v="2026-05-13T00:00:00"/>
    <x v="2"/>
    <s v="Pen Set"/>
    <s v="Stationery"/>
    <n v="6"/>
    <x v="18"/>
    <x v="18"/>
    <n v="0.16132555919813146"/>
    <s v="High"/>
  </r>
  <r>
    <s v="ORD0020"/>
    <d v="2026-03-25T00:00:00"/>
    <x v="3"/>
    <s v="Pen Set"/>
    <s v="Stationery"/>
    <n v="5"/>
    <x v="19"/>
    <x v="19"/>
    <n v="0.16766637667354758"/>
    <s v="High"/>
  </r>
  <r>
    <s v="ORD0021"/>
    <d v="2026-01-13T00:00:00"/>
    <x v="3"/>
    <s v="Desk"/>
    <s v="Furniture"/>
    <n v="9"/>
    <x v="20"/>
    <x v="20"/>
    <n v="0.17591334896122623"/>
    <s v="High"/>
  </r>
  <r>
    <s v="ORD0022"/>
    <d v="2026-01-14T00:00:00"/>
    <x v="1"/>
    <s v="Pen Set"/>
    <s v="Stationery"/>
    <n v="5"/>
    <x v="21"/>
    <x v="21"/>
    <n v="0.21657597848406607"/>
    <s v="High"/>
  </r>
  <r>
    <s v="ORD0023"/>
    <d v="2026-05-15T00:00:00"/>
    <x v="0"/>
    <s v="Monitor"/>
    <s v="Electronics"/>
    <n v="6"/>
    <x v="22"/>
    <x v="22"/>
    <n v="0.17690989790076536"/>
    <s v="High"/>
  </r>
  <r>
    <s v="ORD0024"/>
    <d v="2026-02-13T00:00:00"/>
    <x v="3"/>
    <s v="Laptop"/>
    <s v="Electronics"/>
    <n v="4"/>
    <x v="23"/>
    <x v="23"/>
    <n v="0.24378823044228701"/>
    <s v="High"/>
  </r>
  <r>
    <s v="ORD0025"/>
    <d v="2026-06-18T00:00:00"/>
    <x v="1"/>
    <s v="Laptop"/>
    <s v="Electronics"/>
    <n v="2"/>
    <x v="24"/>
    <x v="24"/>
    <n v="0.14557625161358798"/>
    <s v="High"/>
  </r>
  <r>
    <s v="ORD0026"/>
    <d v="2026-03-19T00:00:00"/>
    <x v="0"/>
    <s v="Monitor"/>
    <s v="Electronics"/>
    <n v="8"/>
    <x v="25"/>
    <x v="25"/>
    <n v="0.12680168902159256"/>
    <s v="High"/>
  </r>
  <r>
    <s v="ORD0027"/>
    <d v="2026-05-23T00:00:00"/>
    <x v="2"/>
    <s v="Desk"/>
    <s v="Furniture"/>
    <n v="4"/>
    <x v="26"/>
    <x v="26"/>
    <n v="7.2429548755610737E-2"/>
    <s v="High"/>
  </r>
  <r>
    <s v="ORD0028"/>
    <d v="2026-05-19T00:00:00"/>
    <x v="2"/>
    <s v="Cabinet"/>
    <s v="Furniture"/>
    <n v="9"/>
    <x v="27"/>
    <x v="27"/>
    <n v="0.13663110192862132"/>
    <s v="High"/>
  </r>
  <r>
    <s v="ORD0029"/>
    <d v="2026-05-13T00:00:00"/>
    <x v="3"/>
    <s v="Cabinet"/>
    <s v="Furniture"/>
    <n v="8"/>
    <x v="28"/>
    <x v="28"/>
    <n v="0.14941284388506451"/>
    <s v="Medium"/>
  </r>
  <r>
    <s v="ORD0030"/>
    <d v="2026-04-27T00:00:00"/>
    <x v="1"/>
    <s v="Desk"/>
    <s v="Furniture"/>
    <n v="5"/>
    <x v="29"/>
    <x v="29"/>
    <n v="0.13620986501634796"/>
    <s v="High"/>
  </r>
  <r>
    <s v="ORD0031"/>
    <d v="2026-06-05T00:00:00"/>
    <x v="1"/>
    <s v="Pen Set"/>
    <s v="Stationery"/>
    <n v="5"/>
    <x v="30"/>
    <x v="30"/>
    <n v="0.23323845408713437"/>
    <s v="High"/>
  </r>
  <r>
    <s v="ORD0032"/>
    <d v="2026-05-19T00:00:00"/>
    <x v="3"/>
    <s v="Printer"/>
    <s v="Electronics"/>
    <n v="4"/>
    <x v="31"/>
    <x v="31"/>
    <n v="0.13591238480350187"/>
    <s v="High"/>
  </r>
  <r>
    <s v="ORD0033"/>
    <d v="2026-06-14T00:00:00"/>
    <x v="0"/>
    <s v="Desk"/>
    <s v="Furniture"/>
    <n v="9"/>
    <x v="32"/>
    <x v="32"/>
    <n v="7.210635711204362E-2"/>
    <s v="High"/>
  </r>
  <r>
    <s v="ORD0034"/>
    <d v="2026-06-13T00:00:00"/>
    <x v="2"/>
    <s v="Notebook"/>
    <s v="Stationery"/>
    <n v="6"/>
    <x v="33"/>
    <x v="33"/>
    <n v="0.2182437271409946"/>
    <s v="High"/>
  </r>
  <r>
    <s v="ORD0035"/>
    <d v="2026-03-06T00:00:00"/>
    <x v="3"/>
    <s v="Printer"/>
    <s v="Electronics"/>
    <n v="9"/>
    <x v="34"/>
    <x v="34"/>
    <n v="0.24847459406954309"/>
    <s v="High"/>
  </r>
  <r>
    <s v="ORD0036"/>
    <d v="2026-03-29T00:00:00"/>
    <x v="1"/>
    <s v="Pen Set"/>
    <s v="Stationery"/>
    <n v="5"/>
    <x v="35"/>
    <x v="35"/>
    <n v="0.16925924330573319"/>
    <s v="High"/>
  </r>
  <r>
    <s v="ORD0037"/>
    <d v="2026-02-02T00:00:00"/>
    <x v="2"/>
    <s v="Office Chair"/>
    <s v="Furniture"/>
    <n v="3"/>
    <x v="36"/>
    <x v="36"/>
    <n v="0.23069906535569837"/>
    <s v="High"/>
  </r>
  <r>
    <s v="ORD0038"/>
    <d v="2026-06-30T00:00:00"/>
    <x v="0"/>
    <s v="Office Chair"/>
    <s v="Furniture"/>
    <n v="8"/>
    <x v="37"/>
    <x v="37"/>
    <n v="0.10995744761083241"/>
    <s v="High"/>
  </r>
  <r>
    <s v="ORD0039"/>
    <d v="2026-02-08T00:00:00"/>
    <x v="2"/>
    <s v="Notebook"/>
    <s v="Stationery"/>
    <n v="2"/>
    <x v="38"/>
    <x v="38"/>
    <n v="0.22739977140671641"/>
    <s v="High"/>
  </r>
  <r>
    <s v="ORD0040"/>
    <d v="2026-02-26T00:00:00"/>
    <x v="0"/>
    <s v="Monitor"/>
    <s v="Electronics"/>
    <n v="8"/>
    <x v="39"/>
    <x v="39"/>
    <n v="0.22192403607152417"/>
    <s v="High"/>
  </r>
  <r>
    <s v="ORD0041"/>
    <d v="2026-05-10T00:00:00"/>
    <x v="0"/>
    <s v="Pen Set"/>
    <s v="Stationery"/>
    <n v="5"/>
    <x v="40"/>
    <x v="40"/>
    <n v="6.7089328760013028E-2"/>
    <s v="High"/>
  </r>
  <r>
    <s v="ORD0042"/>
    <d v="2026-06-03T00:00:00"/>
    <x v="1"/>
    <s v="Desk"/>
    <s v="Furniture"/>
    <n v="1"/>
    <x v="41"/>
    <x v="41"/>
    <n v="0.21572011706166658"/>
    <s v="High"/>
  </r>
  <r>
    <s v="ORD0043"/>
    <d v="2026-01-11T00:00:00"/>
    <x v="3"/>
    <s v="Notebook"/>
    <s v="Stationery"/>
    <n v="9"/>
    <x v="42"/>
    <x v="42"/>
    <n v="0.13859419580301519"/>
    <s v="High"/>
  </r>
  <r>
    <s v="ORD0044"/>
    <d v="2026-01-06T00:00:00"/>
    <x v="3"/>
    <s v="Pen Set"/>
    <s v="Stationery"/>
    <n v="6"/>
    <x v="43"/>
    <x v="43"/>
    <n v="0.23001380295034179"/>
    <s v="High"/>
  </r>
  <r>
    <s v="ORD0045"/>
    <d v="2026-04-22T00:00:00"/>
    <x v="3"/>
    <s v="Laptop"/>
    <s v="Electronics"/>
    <n v="7"/>
    <x v="44"/>
    <x v="44"/>
    <n v="0.14451124691038122"/>
    <s v="High"/>
  </r>
  <r>
    <s v="ORD0046"/>
    <d v="2026-04-10T00:00:00"/>
    <x v="3"/>
    <s v="Printer"/>
    <s v="Electronics"/>
    <n v="8"/>
    <x v="45"/>
    <x v="45"/>
    <n v="0.17638176734984898"/>
    <s v="High"/>
  </r>
  <r>
    <s v="ORD0047"/>
    <d v="2026-04-29T00:00:00"/>
    <x v="1"/>
    <s v="Pen Set"/>
    <s v="Stationery"/>
    <n v="4"/>
    <x v="46"/>
    <x v="46"/>
    <n v="0.19304916746035927"/>
    <s v="Medium"/>
  </r>
  <r>
    <s v="ORD0048"/>
    <d v="2026-06-22T00:00:00"/>
    <x v="2"/>
    <s v="Pen Set"/>
    <s v="Stationery"/>
    <n v="5"/>
    <x v="47"/>
    <x v="47"/>
    <n v="0.19892502434274587"/>
    <s v="High"/>
  </r>
  <r>
    <s v="ORD0049"/>
    <d v="2026-03-28T00:00:00"/>
    <x v="0"/>
    <s v="Laptop"/>
    <s v="Electronics"/>
    <n v="3"/>
    <x v="48"/>
    <x v="48"/>
    <n v="0.1704848083398855"/>
    <s v="High"/>
  </r>
  <r>
    <s v="ORD0050"/>
    <d v="2026-05-25T00:00:00"/>
    <x v="1"/>
    <s v="Pen Set"/>
    <s v="Stationery"/>
    <n v="3"/>
    <x v="49"/>
    <x v="49"/>
    <n v="0.10636640632121599"/>
    <s v="High"/>
  </r>
  <r>
    <s v="ORD0051"/>
    <d v="2026-05-23T00:00:00"/>
    <x v="3"/>
    <s v="Pen Set"/>
    <s v="Stationery"/>
    <n v="7"/>
    <x v="50"/>
    <x v="50"/>
    <n v="0.11427178321407352"/>
    <s v="High"/>
  </r>
  <r>
    <s v="ORD0052"/>
    <d v="2026-06-09T00:00:00"/>
    <x v="3"/>
    <s v="Desk"/>
    <s v="Furniture"/>
    <n v="7"/>
    <x v="51"/>
    <x v="51"/>
    <n v="7.4522387138177035E-2"/>
    <s v="High"/>
  </r>
  <r>
    <s v="ORD0053"/>
    <d v="2026-02-17T00:00:00"/>
    <x v="1"/>
    <s v="Printer"/>
    <s v="Electronics"/>
    <n v="6"/>
    <x v="52"/>
    <x v="52"/>
    <n v="0.16936027058613648"/>
    <s v="High"/>
  </r>
  <r>
    <s v="ORD0054"/>
    <d v="2026-01-27T00:00:00"/>
    <x v="1"/>
    <s v="Notebook"/>
    <s v="Stationery"/>
    <n v="1"/>
    <x v="53"/>
    <x v="53"/>
    <n v="0.19619113516811909"/>
    <s v="High"/>
  </r>
  <r>
    <s v="ORD0055"/>
    <d v="2026-01-06T00:00:00"/>
    <x v="2"/>
    <s v="Office Chair"/>
    <s v="Furniture"/>
    <n v="9"/>
    <x v="54"/>
    <x v="54"/>
    <n v="9.2791900236717101E-2"/>
    <s v="High"/>
  </r>
  <r>
    <s v="ORD0056"/>
    <d v="2026-05-05T00:00:00"/>
    <x v="1"/>
    <s v="Notebook"/>
    <s v="Stationery"/>
    <n v="4"/>
    <x v="55"/>
    <x v="55"/>
    <n v="8.3148544625382681E-2"/>
    <s v="High"/>
  </r>
  <r>
    <s v="ORD0057"/>
    <d v="2026-05-05T00:00:00"/>
    <x v="1"/>
    <s v="Cabinet"/>
    <s v="Furniture"/>
    <n v="3"/>
    <x v="56"/>
    <x v="56"/>
    <n v="0.15734279923196365"/>
    <s v="Medium"/>
  </r>
  <r>
    <s v="ORD0058"/>
    <d v="2026-01-21T00:00:00"/>
    <x v="3"/>
    <s v="Office Chair"/>
    <s v="Furniture"/>
    <n v="7"/>
    <x v="57"/>
    <x v="57"/>
    <n v="0.11029724512108159"/>
    <s v="High"/>
  </r>
  <r>
    <s v="ORD0059"/>
    <d v="2026-02-18T00:00:00"/>
    <x v="1"/>
    <s v="Monitor"/>
    <s v="Electronics"/>
    <n v="1"/>
    <x v="58"/>
    <x v="58"/>
    <n v="5.0918366027996924E-2"/>
    <s v="High"/>
  </r>
  <r>
    <s v="ORD0060"/>
    <d v="2026-04-18T00:00:00"/>
    <x v="2"/>
    <s v="Office Chair"/>
    <s v="Furniture"/>
    <n v="4"/>
    <x v="59"/>
    <x v="59"/>
    <n v="0.13779019631940118"/>
    <s v="High"/>
  </r>
  <r>
    <s v="ORD0061"/>
    <d v="2026-03-16T00:00:00"/>
    <x v="3"/>
    <s v="Office Chair"/>
    <s v="Furniture"/>
    <n v="9"/>
    <x v="60"/>
    <x v="60"/>
    <n v="8.0669159838752849E-2"/>
    <s v="High"/>
  </r>
  <r>
    <s v="ORD0062"/>
    <d v="2026-06-11T00:00:00"/>
    <x v="2"/>
    <s v="Printer"/>
    <s v="Electronics"/>
    <n v="7"/>
    <x v="61"/>
    <x v="61"/>
    <n v="6.04023813020345E-2"/>
    <s v="Medium"/>
  </r>
  <r>
    <s v="ORD0063"/>
    <d v="2026-06-19T00:00:00"/>
    <x v="0"/>
    <s v="Printer"/>
    <s v="Electronics"/>
    <n v="6"/>
    <x v="62"/>
    <x v="62"/>
    <n v="6.198495631318577E-2"/>
    <s v="Medium"/>
  </r>
  <r>
    <s v="ORD0064"/>
    <d v="2026-03-30T00:00:00"/>
    <x v="1"/>
    <s v="Laptop"/>
    <s v="Electronics"/>
    <n v="10"/>
    <x v="63"/>
    <x v="63"/>
    <n v="0.13351905963938776"/>
    <s v="High"/>
  </r>
  <r>
    <s v="ORD0065"/>
    <d v="2026-02-10T00:00:00"/>
    <x v="1"/>
    <s v="Printer"/>
    <s v="Electronics"/>
    <n v="4"/>
    <x v="64"/>
    <x v="64"/>
    <n v="0.18087934120580773"/>
    <s v="High"/>
  </r>
  <r>
    <s v="ORD0066"/>
    <d v="2026-03-18T00:00:00"/>
    <x v="0"/>
    <s v="Pen Set"/>
    <s v="Stationery"/>
    <n v="5"/>
    <x v="65"/>
    <x v="65"/>
    <n v="5.2858156087858953E-2"/>
    <s v="High"/>
  </r>
  <r>
    <s v="ORD0067"/>
    <d v="2026-01-08T00:00:00"/>
    <x v="1"/>
    <s v="Desk"/>
    <s v="Furniture"/>
    <n v="2"/>
    <x v="66"/>
    <x v="66"/>
    <n v="0.13227196336036859"/>
    <s v="High"/>
  </r>
  <r>
    <s v="ORD0068"/>
    <d v="2026-04-06T00:00:00"/>
    <x v="2"/>
    <s v="Notebook"/>
    <s v="Stationery"/>
    <n v="5"/>
    <x v="67"/>
    <x v="67"/>
    <n v="5.3011397766999771E-2"/>
    <s v="High"/>
  </r>
  <r>
    <s v="ORD0069"/>
    <d v="2026-06-09T00:00:00"/>
    <x v="0"/>
    <s v="Laptop"/>
    <s v="Electronics"/>
    <n v="5"/>
    <x v="68"/>
    <x v="68"/>
    <n v="6.671600019483169E-2"/>
    <s v="High"/>
  </r>
  <r>
    <s v="ORD0070"/>
    <d v="2026-03-09T00:00:00"/>
    <x v="2"/>
    <s v="Desk"/>
    <s v="Furniture"/>
    <n v="7"/>
    <x v="69"/>
    <x v="69"/>
    <n v="5.3169196620886539E-2"/>
    <s v="Medium"/>
  </r>
  <r>
    <s v="ORD0071"/>
    <d v="2026-06-21T00:00:00"/>
    <x v="3"/>
    <s v="Cabinet"/>
    <s v="Furniture"/>
    <n v="7"/>
    <x v="70"/>
    <x v="70"/>
    <n v="0.19606168020047804"/>
    <s v="High"/>
  </r>
  <r>
    <s v="ORD0072"/>
    <d v="2026-02-03T00:00:00"/>
    <x v="2"/>
    <s v="Office Chair"/>
    <s v="Furniture"/>
    <n v="7"/>
    <x v="71"/>
    <x v="71"/>
    <n v="0.24511801372181627"/>
    <s v="High"/>
  </r>
  <r>
    <s v="ORD0073"/>
    <d v="2026-06-03T00:00:00"/>
    <x v="2"/>
    <s v="Cabinet"/>
    <s v="Furniture"/>
    <n v="1"/>
    <x v="72"/>
    <x v="72"/>
    <n v="0.1772497816283668"/>
    <s v="High"/>
  </r>
  <r>
    <s v="ORD0074"/>
    <d v="2026-03-06T00:00:00"/>
    <x v="1"/>
    <s v="Office Chair"/>
    <s v="Furniture"/>
    <n v="8"/>
    <x v="73"/>
    <x v="73"/>
    <n v="0.22946782310739908"/>
    <s v="Medium"/>
  </r>
  <r>
    <s v="ORD0075"/>
    <d v="2026-02-03T00:00:00"/>
    <x v="0"/>
    <s v="Desk"/>
    <s v="Furniture"/>
    <n v="9"/>
    <x v="74"/>
    <x v="74"/>
    <n v="0.19297388362743056"/>
    <s v="High"/>
  </r>
  <r>
    <s v="ORD0076"/>
    <d v="2026-02-18T00:00:00"/>
    <x v="0"/>
    <s v="Notebook"/>
    <s v="Stationery"/>
    <n v="4"/>
    <x v="75"/>
    <x v="75"/>
    <n v="0.21336167684253923"/>
    <s v="High"/>
  </r>
  <r>
    <s v="ORD0077"/>
    <d v="2026-06-01T00:00:00"/>
    <x v="0"/>
    <s v="Notebook"/>
    <s v="Stationery"/>
    <n v="9"/>
    <x v="76"/>
    <x v="76"/>
    <n v="9.9260286178651347E-2"/>
    <s v="High"/>
  </r>
  <r>
    <s v="ORD0078"/>
    <d v="2026-02-05T00:00:00"/>
    <x v="1"/>
    <s v="Cabinet"/>
    <s v="Furniture"/>
    <n v="7"/>
    <x v="77"/>
    <x v="77"/>
    <n v="0.20242677940430231"/>
    <s v="High"/>
  </r>
  <r>
    <s v="ORD0079"/>
    <d v="2026-04-13T00:00:00"/>
    <x v="3"/>
    <s v="Pen Set"/>
    <s v="Stationery"/>
    <n v="1"/>
    <x v="78"/>
    <x v="78"/>
    <n v="7.0008333013669904E-2"/>
    <s v="High"/>
  </r>
  <r>
    <s v="ORD0080"/>
    <d v="2026-05-30T00:00:00"/>
    <x v="0"/>
    <s v="Office Chair"/>
    <s v="Furniture"/>
    <n v="3"/>
    <x v="79"/>
    <x v="79"/>
    <n v="0.12211178738716043"/>
    <s v="High"/>
  </r>
  <r>
    <s v="ORD0081"/>
    <d v="2026-01-18T00:00:00"/>
    <x v="0"/>
    <s v="Pen Set"/>
    <s v="Stationery"/>
    <n v="4"/>
    <x v="80"/>
    <x v="80"/>
    <n v="5.7975112137619793E-2"/>
    <s v="High"/>
  </r>
  <r>
    <s v="ORD0082"/>
    <d v="2026-02-18T00:00:00"/>
    <x v="2"/>
    <s v="Office Chair"/>
    <s v="Furniture"/>
    <n v="5"/>
    <x v="81"/>
    <x v="81"/>
    <n v="0.24814161308600005"/>
    <s v="High"/>
  </r>
  <r>
    <s v="ORD0083"/>
    <d v="2026-05-17T00:00:00"/>
    <x v="0"/>
    <s v="Laptop"/>
    <s v="Electronics"/>
    <n v="9"/>
    <x v="82"/>
    <x v="82"/>
    <n v="0.104595688747476"/>
    <s v="High"/>
  </r>
  <r>
    <s v="ORD0084"/>
    <d v="2026-02-22T00:00:00"/>
    <x v="3"/>
    <s v="Desk"/>
    <s v="Furniture"/>
    <n v="4"/>
    <x v="83"/>
    <x v="83"/>
    <n v="0.2316704605035626"/>
    <s v="High"/>
  </r>
  <r>
    <s v="ORD0085"/>
    <d v="2026-05-09T00:00:00"/>
    <x v="2"/>
    <s v="Monitor"/>
    <s v="Electronics"/>
    <n v="6"/>
    <x v="84"/>
    <x v="84"/>
    <n v="0.19490293996437874"/>
    <s v="High"/>
  </r>
  <r>
    <s v="ORD0086"/>
    <d v="2026-05-07T00:00:00"/>
    <x v="3"/>
    <s v="Laptop"/>
    <s v="Electronics"/>
    <n v="3"/>
    <x v="85"/>
    <x v="85"/>
    <n v="8.5623588224800817E-2"/>
    <s v="High"/>
  </r>
  <r>
    <s v="ORD0087"/>
    <d v="2026-02-26T00:00:00"/>
    <x v="3"/>
    <s v="Monitor"/>
    <s v="Electronics"/>
    <n v="4"/>
    <x v="86"/>
    <x v="86"/>
    <n v="0.18598322145302851"/>
    <s v="High"/>
  </r>
  <r>
    <s v="ORD0088"/>
    <d v="2026-03-02T00:00:00"/>
    <x v="3"/>
    <s v="Printer"/>
    <s v="Electronics"/>
    <n v="1"/>
    <x v="87"/>
    <x v="87"/>
    <n v="0.19319996747500645"/>
    <s v="High"/>
  </r>
  <r>
    <s v="ORD0089"/>
    <d v="2026-04-25T00:00:00"/>
    <x v="3"/>
    <s v="Office Chair"/>
    <s v="Furniture"/>
    <n v="5"/>
    <x v="88"/>
    <x v="88"/>
    <n v="0.17753085443902816"/>
    <s v="High"/>
  </r>
  <r>
    <s v="ORD0090"/>
    <d v="2026-03-04T00:00:00"/>
    <x v="0"/>
    <s v="Notebook"/>
    <s v="Stationery"/>
    <n v="4"/>
    <x v="89"/>
    <x v="89"/>
    <n v="7.9449453530214223E-2"/>
    <s v="High"/>
  </r>
  <r>
    <s v="ORD0091"/>
    <d v="2026-03-12T00:00:00"/>
    <x v="3"/>
    <s v="Office Chair"/>
    <s v="Furniture"/>
    <n v="1"/>
    <x v="90"/>
    <x v="90"/>
    <n v="5.594283707762672E-2"/>
    <s v="High"/>
  </r>
  <r>
    <s v="ORD0092"/>
    <d v="2026-03-24T00:00:00"/>
    <x v="0"/>
    <s v="Monitor"/>
    <s v="Electronics"/>
    <n v="9"/>
    <x v="91"/>
    <x v="91"/>
    <n v="0.21045757791156747"/>
    <s v="Medium"/>
  </r>
  <r>
    <s v="ORD0093"/>
    <d v="2026-03-29T00:00:00"/>
    <x v="2"/>
    <s v="Monitor"/>
    <s v="Electronics"/>
    <n v="4"/>
    <x v="92"/>
    <x v="92"/>
    <n v="9.6659069217561899E-2"/>
    <s v="High"/>
  </r>
  <r>
    <s v="ORD0094"/>
    <d v="2026-03-30T00:00:00"/>
    <x v="3"/>
    <s v="Monitor"/>
    <s v="Electronics"/>
    <n v="10"/>
    <x v="93"/>
    <x v="93"/>
    <n v="0.10403079458080142"/>
    <s v="High"/>
  </r>
  <r>
    <s v="ORD0095"/>
    <d v="2026-05-17T00:00:00"/>
    <x v="3"/>
    <s v="Monitor"/>
    <s v="Electronics"/>
    <n v="3"/>
    <x v="94"/>
    <x v="94"/>
    <n v="0.20840027019456225"/>
    <s v="High"/>
  </r>
  <r>
    <s v="ORD0096"/>
    <d v="2026-04-08T00:00:00"/>
    <x v="3"/>
    <s v="Laptop"/>
    <s v="Electronics"/>
    <n v="2"/>
    <x v="95"/>
    <x v="95"/>
    <n v="0.10970454257876756"/>
    <s v="High"/>
  </r>
  <r>
    <s v="ORD0097"/>
    <d v="2026-01-07T00:00:00"/>
    <x v="0"/>
    <s v="Cabinet"/>
    <s v="Furniture"/>
    <n v="7"/>
    <x v="96"/>
    <x v="96"/>
    <n v="6.0316858040861204E-2"/>
    <s v="High"/>
  </r>
  <r>
    <s v="ORD0098"/>
    <d v="2026-04-04T00:00:00"/>
    <x v="3"/>
    <s v="Laptop"/>
    <s v="Electronics"/>
    <n v="9"/>
    <x v="97"/>
    <x v="97"/>
    <n v="0.18750790360549555"/>
    <s v="High"/>
  </r>
  <r>
    <s v="ORD0099"/>
    <d v="2026-04-07T00:00:00"/>
    <x v="1"/>
    <s v="Pen Set"/>
    <s v="Stationery"/>
    <n v="2"/>
    <x v="98"/>
    <x v="98"/>
    <n v="0.1623513502373882"/>
    <s v="High"/>
  </r>
  <r>
    <s v="ORD0100"/>
    <d v="2026-05-24T00:00:00"/>
    <x v="2"/>
    <s v="Notebook"/>
    <s v="Stationery"/>
    <n v="4"/>
    <x v="99"/>
    <x v="99"/>
    <n v="0.18883863479395291"/>
    <s v="High"/>
  </r>
  <r>
    <s v="ORD0101"/>
    <d v="2026-03-10T00:00:00"/>
    <x v="0"/>
    <s v="Printer"/>
    <s v="Electronics"/>
    <n v="8"/>
    <x v="100"/>
    <x v="100"/>
    <n v="0.19177143040920466"/>
    <s v="High"/>
  </r>
  <r>
    <s v="ORD0102"/>
    <d v="2026-03-31T00:00:00"/>
    <x v="2"/>
    <s v="Printer"/>
    <s v="Electronics"/>
    <n v="6"/>
    <x v="101"/>
    <x v="101"/>
    <n v="0.19709408332341849"/>
    <s v="High"/>
  </r>
  <r>
    <s v="ORD0103"/>
    <d v="2026-01-08T00:00:00"/>
    <x v="0"/>
    <s v="Notebook"/>
    <s v="Stationery"/>
    <n v="2"/>
    <x v="102"/>
    <x v="102"/>
    <n v="0.19175092486569506"/>
    <s v="High"/>
  </r>
  <r>
    <s v="ORD0104"/>
    <d v="2026-01-08T00:00:00"/>
    <x v="2"/>
    <s v="Printer"/>
    <s v="Electronics"/>
    <n v="3"/>
    <x v="103"/>
    <x v="103"/>
    <n v="7.6772091509877821E-2"/>
    <s v="High"/>
  </r>
  <r>
    <s v="ORD0105"/>
    <d v="2026-01-02T00:00:00"/>
    <x v="3"/>
    <s v="Notebook"/>
    <s v="Stationery"/>
    <n v="4"/>
    <x v="104"/>
    <x v="104"/>
    <n v="8.2284068463794241E-2"/>
    <s v="High"/>
  </r>
  <r>
    <s v="ORD0106"/>
    <d v="2026-05-05T00:00:00"/>
    <x v="2"/>
    <s v="Printer"/>
    <s v="Electronics"/>
    <n v="8"/>
    <x v="105"/>
    <x v="105"/>
    <n v="0.17014629494868386"/>
    <s v="High"/>
  </r>
  <r>
    <s v="ORD0107"/>
    <d v="2026-06-11T00:00:00"/>
    <x v="0"/>
    <s v="Laptop"/>
    <s v="Electronics"/>
    <n v="7"/>
    <x v="106"/>
    <x v="106"/>
    <n v="0.13121476729149142"/>
    <s v="High"/>
  </r>
  <r>
    <s v="ORD0108"/>
    <d v="2026-02-15T00:00:00"/>
    <x v="0"/>
    <s v="Cabinet"/>
    <s v="Furniture"/>
    <n v="5"/>
    <x v="107"/>
    <x v="107"/>
    <n v="0.23249923055246738"/>
    <s v="High"/>
  </r>
  <r>
    <s v="ORD0109"/>
    <d v="2026-01-08T00:00:00"/>
    <x v="1"/>
    <s v="Printer"/>
    <s v="Electronics"/>
    <n v="9"/>
    <x v="108"/>
    <x v="108"/>
    <n v="0.19665259665259668"/>
    <s v="Medium"/>
  </r>
  <r>
    <s v="ORD0110"/>
    <d v="2026-02-04T00:00:00"/>
    <x v="3"/>
    <s v="Cabinet"/>
    <s v="Furniture"/>
    <n v="10"/>
    <x v="109"/>
    <x v="109"/>
    <n v="8.6131575637598004E-2"/>
    <s v="High"/>
  </r>
  <r>
    <s v="ORD0111"/>
    <d v="2026-01-01T00:00:00"/>
    <x v="2"/>
    <s v="Monitor"/>
    <s v="Electronics"/>
    <n v="7"/>
    <x v="110"/>
    <x v="110"/>
    <n v="0.20901848258405692"/>
    <s v="High"/>
  </r>
  <r>
    <s v="ORD0112"/>
    <d v="2026-02-26T00:00:00"/>
    <x v="0"/>
    <s v="Desk"/>
    <s v="Furniture"/>
    <n v="8"/>
    <x v="111"/>
    <x v="111"/>
    <n v="0.12552484660408206"/>
    <s v="High"/>
  </r>
  <r>
    <s v="ORD0113"/>
    <d v="2026-01-31T00:00:00"/>
    <x v="1"/>
    <s v="Notebook"/>
    <s v="Stationery"/>
    <n v="9"/>
    <x v="112"/>
    <x v="112"/>
    <n v="5.6920611890508607E-2"/>
    <s v="High"/>
  </r>
  <r>
    <s v="ORD0114"/>
    <d v="2026-01-24T00:00:00"/>
    <x v="2"/>
    <s v="Cabinet"/>
    <s v="Furniture"/>
    <n v="4"/>
    <x v="113"/>
    <x v="113"/>
    <n v="0.20722524661754363"/>
    <s v="High"/>
  </r>
  <r>
    <s v="ORD0115"/>
    <d v="2026-05-25T00:00:00"/>
    <x v="1"/>
    <s v="Monitor"/>
    <s v="Electronics"/>
    <n v="4"/>
    <x v="114"/>
    <x v="114"/>
    <n v="5.3987838799774722E-2"/>
    <s v="Medium"/>
  </r>
  <r>
    <s v="ORD0116"/>
    <d v="2026-04-02T00:00:00"/>
    <x v="1"/>
    <s v="Cabinet"/>
    <s v="Furniture"/>
    <n v="2"/>
    <x v="115"/>
    <x v="115"/>
    <n v="0.1268052339575215"/>
    <s v="High"/>
  </r>
  <r>
    <s v="ORD0117"/>
    <d v="2026-05-13T00:00:00"/>
    <x v="3"/>
    <s v="Cabinet"/>
    <s v="Furniture"/>
    <n v="9"/>
    <x v="116"/>
    <x v="116"/>
    <n v="0.20438841411090639"/>
    <s v="High"/>
  </r>
  <r>
    <s v="ORD0118"/>
    <d v="2026-04-05T00:00:00"/>
    <x v="3"/>
    <s v="Printer"/>
    <s v="Electronics"/>
    <n v="8"/>
    <x v="117"/>
    <x v="117"/>
    <n v="8.3270672003625437E-2"/>
    <s v="High"/>
  </r>
  <r>
    <s v="ORD0119"/>
    <d v="2026-02-24T00:00:00"/>
    <x v="2"/>
    <s v="Desk"/>
    <s v="Furniture"/>
    <n v="8"/>
    <x v="118"/>
    <x v="118"/>
    <n v="9.1717685657723411E-2"/>
    <s v="High"/>
  </r>
  <r>
    <s v="ORD0120"/>
    <d v="2026-02-23T00:00:00"/>
    <x v="1"/>
    <s v="Desk"/>
    <s v="Furniture"/>
    <n v="1"/>
    <x v="119"/>
    <x v="119"/>
    <n v="6.1303460108220575E-2"/>
    <s v="High"/>
  </r>
  <r>
    <s v="ORD0121"/>
    <d v="2026-02-27T00:00:00"/>
    <x v="2"/>
    <s v="Cabinet"/>
    <s v="Furniture"/>
    <n v="3"/>
    <x v="120"/>
    <x v="120"/>
    <n v="0.18102501220791689"/>
    <s v="High"/>
  </r>
  <r>
    <s v="ORD0122"/>
    <d v="2026-02-17T00:00:00"/>
    <x v="2"/>
    <s v="Desk"/>
    <s v="Furniture"/>
    <n v="2"/>
    <x v="121"/>
    <x v="121"/>
    <n v="0.22747341476957963"/>
    <s v="High"/>
  </r>
  <r>
    <s v="ORD0123"/>
    <d v="2026-05-02T00:00:00"/>
    <x v="3"/>
    <s v="Monitor"/>
    <s v="Electronics"/>
    <n v="5"/>
    <x v="122"/>
    <x v="122"/>
    <n v="0.12721955267941318"/>
    <s v="High"/>
  </r>
  <r>
    <s v="ORD0124"/>
    <d v="2026-04-21T00:00:00"/>
    <x v="1"/>
    <s v="Monitor"/>
    <s v="Electronics"/>
    <n v="8"/>
    <x v="123"/>
    <x v="123"/>
    <n v="0.24294112851358329"/>
    <s v="High"/>
  </r>
  <r>
    <s v="ORD0125"/>
    <d v="2026-06-23T00:00:00"/>
    <x v="0"/>
    <s v="Monitor"/>
    <s v="Electronics"/>
    <n v="6"/>
    <x v="124"/>
    <x v="124"/>
    <n v="0.23938265171546394"/>
    <s v="High"/>
  </r>
  <r>
    <s v="ORD0126"/>
    <d v="2026-04-08T00:00:00"/>
    <x v="3"/>
    <s v="Pen Set"/>
    <s v="Stationery"/>
    <n v="9"/>
    <x v="125"/>
    <x v="125"/>
    <n v="0.14364824851083738"/>
    <s v="High"/>
  </r>
  <r>
    <s v="ORD0127"/>
    <d v="2026-05-24T00:00:00"/>
    <x v="2"/>
    <s v="Printer"/>
    <s v="Electronics"/>
    <n v="2"/>
    <x v="126"/>
    <x v="126"/>
    <n v="0.18725693263672055"/>
    <s v="Medium"/>
  </r>
  <r>
    <s v="ORD0128"/>
    <d v="2026-03-26T00:00:00"/>
    <x v="1"/>
    <s v="Notebook"/>
    <s v="Stationery"/>
    <n v="3"/>
    <x v="127"/>
    <x v="127"/>
    <n v="0.22750628880805926"/>
    <s v="High"/>
  </r>
  <r>
    <s v="ORD0129"/>
    <d v="2026-04-09T00:00:00"/>
    <x v="2"/>
    <s v="Pen Set"/>
    <s v="Stationery"/>
    <n v="5"/>
    <x v="128"/>
    <x v="128"/>
    <n v="0.23857127347218299"/>
    <s v="High"/>
  </r>
  <r>
    <s v="ORD0130"/>
    <d v="2026-03-10T00:00:00"/>
    <x v="3"/>
    <s v="Monitor"/>
    <s v="Electronics"/>
    <n v="3"/>
    <x v="129"/>
    <x v="129"/>
    <n v="0.20034511053190462"/>
    <s v="Medium"/>
  </r>
  <r>
    <s v="ORD0131"/>
    <d v="2026-04-21T00:00:00"/>
    <x v="0"/>
    <s v="Pen Set"/>
    <s v="Stationery"/>
    <n v="3"/>
    <x v="130"/>
    <x v="130"/>
    <n v="0.11508802547019634"/>
    <s v="High"/>
  </r>
  <r>
    <s v="ORD0132"/>
    <d v="2026-01-02T00:00:00"/>
    <x v="3"/>
    <s v="Office Chair"/>
    <s v="Furniture"/>
    <n v="2"/>
    <x v="131"/>
    <x v="131"/>
    <n v="8.2994092442464681E-2"/>
    <s v="High"/>
  </r>
  <r>
    <s v="ORD0133"/>
    <d v="2026-04-27T00:00:00"/>
    <x v="1"/>
    <s v="Cabinet"/>
    <s v="Furniture"/>
    <n v="2"/>
    <x v="132"/>
    <x v="132"/>
    <n v="0.20483219893548429"/>
    <s v="High"/>
  </r>
  <r>
    <s v="ORD0134"/>
    <d v="2026-06-30T00:00:00"/>
    <x v="3"/>
    <s v="Laptop"/>
    <s v="Electronics"/>
    <n v="3"/>
    <x v="133"/>
    <x v="133"/>
    <n v="7.1517342092352165E-2"/>
    <s v="High"/>
  </r>
  <r>
    <s v="ORD0135"/>
    <d v="2026-03-04T00:00:00"/>
    <x v="2"/>
    <s v="Desk"/>
    <s v="Furniture"/>
    <n v="9"/>
    <x v="134"/>
    <x v="134"/>
    <n v="0.19922213493580493"/>
    <s v="High"/>
  </r>
  <r>
    <s v="ORD0136"/>
    <d v="2026-03-14T00:00:00"/>
    <x v="1"/>
    <s v="Cabinet"/>
    <s v="Furniture"/>
    <n v="7"/>
    <x v="135"/>
    <x v="135"/>
    <n v="0.12303167304580132"/>
    <s v="High"/>
  </r>
  <r>
    <s v="ORD0137"/>
    <d v="2026-06-13T00:00:00"/>
    <x v="1"/>
    <s v="Monitor"/>
    <s v="Electronics"/>
    <n v="6"/>
    <x v="136"/>
    <x v="136"/>
    <n v="8.3679546627773549E-2"/>
    <s v="Medium"/>
  </r>
  <r>
    <s v="ORD0138"/>
    <d v="2026-05-09T00:00:00"/>
    <x v="3"/>
    <s v="Laptop"/>
    <s v="Electronics"/>
    <n v="6"/>
    <x v="137"/>
    <x v="137"/>
    <n v="0.13371463298683092"/>
    <s v="Medium"/>
  </r>
  <r>
    <s v="ORD0139"/>
    <d v="2026-04-27T00:00:00"/>
    <x v="2"/>
    <s v="Notebook"/>
    <s v="Stationery"/>
    <n v="2"/>
    <x v="138"/>
    <x v="138"/>
    <n v="0.22928549732459613"/>
    <s v="High"/>
  </r>
  <r>
    <s v="ORD0140"/>
    <d v="2026-02-17T00:00:00"/>
    <x v="1"/>
    <s v="Cabinet"/>
    <s v="Furniture"/>
    <n v="6"/>
    <x v="139"/>
    <x v="139"/>
    <n v="0.1959975978079998"/>
    <s v="Medium"/>
  </r>
  <r>
    <s v="ORD0141"/>
    <d v="2026-02-11T00:00:00"/>
    <x v="3"/>
    <s v="Desk"/>
    <s v="Furniture"/>
    <n v="5"/>
    <x v="140"/>
    <x v="140"/>
    <n v="9.0403286232788996E-2"/>
    <s v="Medium"/>
  </r>
  <r>
    <s v="ORD0142"/>
    <d v="2026-03-26T00:00:00"/>
    <x v="0"/>
    <s v="Desk"/>
    <s v="Furniture"/>
    <n v="1"/>
    <x v="141"/>
    <x v="141"/>
    <n v="8.6200885655200787E-2"/>
    <s v="High"/>
  </r>
  <r>
    <s v="ORD0143"/>
    <d v="2026-06-16T00:00:00"/>
    <x v="0"/>
    <s v="Laptop"/>
    <s v="Electronics"/>
    <n v="9"/>
    <x v="142"/>
    <x v="142"/>
    <n v="0.23938097285366572"/>
    <s v="High"/>
  </r>
  <r>
    <s v="ORD0144"/>
    <d v="2026-03-20T00:00:00"/>
    <x v="0"/>
    <s v="Pen Set"/>
    <s v="Stationery"/>
    <n v="3"/>
    <x v="143"/>
    <x v="143"/>
    <n v="0.21210243937966089"/>
    <s v="High"/>
  </r>
  <r>
    <s v="ORD0145"/>
    <d v="2026-02-26T00:00:00"/>
    <x v="1"/>
    <s v="Office Chair"/>
    <s v="Furniture"/>
    <n v="9"/>
    <x v="144"/>
    <x v="144"/>
    <n v="7.3230702418244933E-2"/>
    <s v="Medium"/>
  </r>
  <r>
    <s v="ORD0146"/>
    <d v="2026-04-24T00:00:00"/>
    <x v="3"/>
    <s v="Monitor"/>
    <s v="Electronics"/>
    <n v="5"/>
    <x v="145"/>
    <x v="145"/>
    <n v="5.5783340754230443E-2"/>
    <s v="Medium"/>
  </r>
  <r>
    <s v="ORD0147"/>
    <d v="2026-05-05T00:00:00"/>
    <x v="2"/>
    <s v="Notebook"/>
    <s v="Stationery"/>
    <n v="10"/>
    <x v="146"/>
    <x v="146"/>
    <n v="5.0211452034136378E-2"/>
    <s v="High"/>
  </r>
  <r>
    <s v="ORD0148"/>
    <d v="2026-03-10T00:00:00"/>
    <x v="3"/>
    <s v="Notebook"/>
    <s v="Stationery"/>
    <n v="3"/>
    <x v="147"/>
    <x v="147"/>
    <n v="8.5813855145237816E-2"/>
    <s v="High"/>
  </r>
  <r>
    <s v="ORD0149"/>
    <d v="2026-05-28T00:00:00"/>
    <x v="1"/>
    <s v="Office Chair"/>
    <s v="Furniture"/>
    <n v="2"/>
    <x v="148"/>
    <x v="148"/>
    <n v="0.22988828403401762"/>
    <s v="High"/>
  </r>
  <r>
    <s v="ORD0150"/>
    <d v="2026-03-16T00:00:00"/>
    <x v="1"/>
    <s v="Cabinet"/>
    <s v="Furniture"/>
    <n v="5"/>
    <x v="149"/>
    <x v="149"/>
    <n v="0.17145503748625224"/>
    <s v="High"/>
  </r>
  <r>
    <s v="ORD0151"/>
    <d v="2026-02-04T00:00:00"/>
    <x v="1"/>
    <s v="Office Chair"/>
    <s v="Furniture"/>
    <n v="9"/>
    <x v="150"/>
    <x v="150"/>
    <n v="0.13139987390481989"/>
    <s v="Medium"/>
  </r>
  <r>
    <s v="ORD0152"/>
    <d v="2026-03-30T00:00:00"/>
    <x v="1"/>
    <s v="Pen Set"/>
    <s v="Stationery"/>
    <n v="4"/>
    <x v="151"/>
    <x v="151"/>
    <n v="0.23145034974037676"/>
    <s v="High"/>
  </r>
  <r>
    <s v="ORD0153"/>
    <d v="2026-02-04T00:00:00"/>
    <x v="3"/>
    <s v="Desk"/>
    <s v="Furniture"/>
    <n v="8"/>
    <x v="152"/>
    <x v="152"/>
    <n v="0.24051445329188634"/>
    <s v="High"/>
  </r>
  <r>
    <s v="ORD0154"/>
    <d v="2026-04-05T00:00:00"/>
    <x v="2"/>
    <s v="Pen Set"/>
    <s v="Stationery"/>
    <n v="4"/>
    <x v="153"/>
    <x v="153"/>
    <n v="0.13792850317962296"/>
    <s v="High"/>
  </r>
  <r>
    <s v="ORD0155"/>
    <d v="2026-04-22T00:00:00"/>
    <x v="0"/>
    <s v="Printer"/>
    <s v="Electronics"/>
    <n v="1"/>
    <x v="154"/>
    <x v="154"/>
    <n v="0.15990983806802936"/>
    <s v="High"/>
  </r>
  <r>
    <s v="ORD0156"/>
    <d v="2026-01-30T00:00:00"/>
    <x v="2"/>
    <s v="Monitor"/>
    <s v="Electronics"/>
    <n v="1"/>
    <x v="155"/>
    <x v="155"/>
    <n v="0.19924349502746475"/>
    <s v="High"/>
  </r>
  <r>
    <s v="ORD0157"/>
    <d v="2026-03-19T00:00:00"/>
    <x v="1"/>
    <s v="Notebook"/>
    <s v="Stationery"/>
    <n v="5"/>
    <x v="156"/>
    <x v="156"/>
    <n v="0.13254962840250661"/>
    <s v="High"/>
  </r>
  <r>
    <s v="ORD0158"/>
    <d v="2026-02-08T00:00:00"/>
    <x v="2"/>
    <s v="Notebook"/>
    <s v="Stationery"/>
    <n v="2"/>
    <x v="157"/>
    <x v="157"/>
    <n v="9.8532967806244279E-2"/>
    <s v="High"/>
  </r>
  <r>
    <s v="ORD0159"/>
    <d v="2026-03-09T00:00:00"/>
    <x v="0"/>
    <s v="Printer"/>
    <s v="Electronics"/>
    <n v="2"/>
    <x v="158"/>
    <x v="158"/>
    <n v="0.11559893152812947"/>
    <s v="High"/>
  </r>
  <r>
    <s v="ORD0160"/>
    <d v="2026-03-25T00:00:00"/>
    <x v="2"/>
    <s v="Printer"/>
    <s v="Electronics"/>
    <n v="6"/>
    <x v="159"/>
    <x v="159"/>
    <n v="0.16068016813144823"/>
    <s v="High"/>
  </r>
  <r>
    <s v="ORD0161"/>
    <d v="2026-05-06T00:00:00"/>
    <x v="2"/>
    <s v="Desk"/>
    <s v="Furniture"/>
    <n v="7"/>
    <x v="160"/>
    <x v="160"/>
    <n v="7.6135938179326443E-2"/>
    <s v="High"/>
  </r>
  <r>
    <s v="ORD0162"/>
    <d v="2026-01-13T00:00:00"/>
    <x v="0"/>
    <s v="Cabinet"/>
    <s v="Furniture"/>
    <n v="4"/>
    <x v="161"/>
    <x v="161"/>
    <n v="0.13580473353214023"/>
    <s v="High"/>
  </r>
  <r>
    <s v="ORD0163"/>
    <d v="2026-04-10T00:00:00"/>
    <x v="3"/>
    <s v="Notebook"/>
    <s v="Stationery"/>
    <n v="4"/>
    <x v="162"/>
    <x v="162"/>
    <n v="0.16720429205433024"/>
    <s v="Medium"/>
  </r>
  <r>
    <s v="ORD0164"/>
    <d v="2026-06-07T00:00:00"/>
    <x v="0"/>
    <s v="Pen Set"/>
    <s v="Stationery"/>
    <n v="5"/>
    <x v="163"/>
    <x v="163"/>
    <n v="8.4654853297004451E-2"/>
    <s v="High"/>
  </r>
  <r>
    <s v="ORD0165"/>
    <d v="2026-02-19T00:00:00"/>
    <x v="1"/>
    <s v="Laptop"/>
    <s v="Electronics"/>
    <n v="10"/>
    <x v="164"/>
    <x v="164"/>
    <n v="0.23185855140617309"/>
    <s v="High"/>
  </r>
  <r>
    <s v="ORD0166"/>
    <d v="2026-03-28T00:00:00"/>
    <x v="1"/>
    <s v="Printer"/>
    <s v="Electronics"/>
    <n v="9"/>
    <x v="165"/>
    <x v="165"/>
    <n v="0.12215592420169168"/>
    <s v="High"/>
  </r>
  <r>
    <s v="ORD0167"/>
    <d v="2026-01-05T00:00:00"/>
    <x v="3"/>
    <s v="Printer"/>
    <s v="Electronics"/>
    <n v="3"/>
    <x v="166"/>
    <x v="166"/>
    <n v="0.18149751739513278"/>
    <s v="High"/>
  </r>
  <r>
    <s v="ORD0168"/>
    <d v="2026-05-06T00:00:00"/>
    <x v="1"/>
    <s v="Notebook"/>
    <s v="Stationery"/>
    <n v="3"/>
    <x v="167"/>
    <x v="167"/>
    <n v="7.463118310673994E-2"/>
    <s v="High"/>
  </r>
  <r>
    <s v="ORD0169"/>
    <d v="2026-01-12T00:00:00"/>
    <x v="0"/>
    <s v="Laptop"/>
    <s v="Electronics"/>
    <n v="3"/>
    <x v="168"/>
    <x v="168"/>
    <n v="0.11631109670000374"/>
    <s v="High"/>
  </r>
  <r>
    <s v="ORD0170"/>
    <d v="2026-03-01T00:00:00"/>
    <x v="0"/>
    <s v="Notebook"/>
    <s v="Stationery"/>
    <n v="3"/>
    <x v="169"/>
    <x v="169"/>
    <n v="0.21760112810367641"/>
    <s v="High"/>
  </r>
  <r>
    <s v="ORD0171"/>
    <d v="2026-04-24T00:00:00"/>
    <x v="2"/>
    <s v="Desk"/>
    <s v="Furniture"/>
    <n v="6"/>
    <x v="170"/>
    <x v="170"/>
    <n v="0.18698983293509913"/>
    <s v="High"/>
  </r>
  <r>
    <s v="ORD0172"/>
    <d v="2026-04-07T00:00:00"/>
    <x v="2"/>
    <s v="Monitor"/>
    <s v="Electronics"/>
    <n v="5"/>
    <x v="171"/>
    <x v="171"/>
    <n v="0.10986337771544727"/>
    <s v="High"/>
  </r>
  <r>
    <s v="ORD0173"/>
    <d v="2026-06-20T00:00:00"/>
    <x v="0"/>
    <s v="Notebook"/>
    <s v="Stationery"/>
    <n v="10"/>
    <x v="172"/>
    <x v="172"/>
    <n v="0.10446223604314341"/>
    <s v="High"/>
  </r>
  <r>
    <s v="ORD0174"/>
    <d v="2026-05-15T00:00:00"/>
    <x v="1"/>
    <s v="Notebook"/>
    <s v="Stationery"/>
    <n v="8"/>
    <x v="173"/>
    <x v="173"/>
    <n v="0.14261786951011809"/>
    <s v="High"/>
  </r>
  <r>
    <s v="ORD0175"/>
    <d v="2026-02-27T00:00:00"/>
    <x v="3"/>
    <s v="Laptop"/>
    <s v="Electronics"/>
    <n v="4"/>
    <x v="174"/>
    <x v="174"/>
    <n v="0.13097775057542696"/>
    <s v="High"/>
  </r>
  <r>
    <s v="ORD0176"/>
    <d v="2026-02-03T00:00:00"/>
    <x v="1"/>
    <s v="Cabinet"/>
    <s v="Furniture"/>
    <n v="5"/>
    <x v="175"/>
    <x v="175"/>
    <n v="0.24920994100186522"/>
    <s v="High"/>
  </r>
  <r>
    <s v="ORD0177"/>
    <d v="2026-05-29T00:00:00"/>
    <x v="0"/>
    <s v="Printer"/>
    <s v="Electronics"/>
    <n v="6"/>
    <x v="176"/>
    <x v="176"/>
    <n v="0.17836359644764102"/>
    <s v="High"/>
  </r>
  <r>
    <s v="ORD0178"/>
    <d v="2026-04-09T00:00:00"/>
    <x v="3"/>
    <s v="Pen Set"/>
    <s v="Stationery"/>
    <n v="2"/>
    <x v="177"/>
    <x v="177"/>
    <n v="0.11817052256463775"/>
    <s v="High"/>
  </r>
  <r>
    <s v="ORD0179"/>
    <d v="2026-06-28T00:00:00"/>
    <x v="3"/>
    <s v="Office Chair"/>
    <s v="Furniture"/>
    <n v="6"/>
    <x v="178"/>
    <x v="178"/>
    <n v="0.21634966342886175"/>
    <s v="High"/>
  </r>
  <r>
    <s v="ORD0180"/>
    <d v="2026-05-22T00:00:00"/>
    <x v="2"/>
    <s v="Desk"/>
    <s v="Furniture"/>
    <n v="10"/>
    <x v="179"/>
    <x v="179"/>
    <n v="0.17616094248732453"/>
    <s v="High"/>
  </r>
  <r>
    <s v="ORD0181"/>
    <d v="2026-03-08T00:00:00"/>
    <x v="1"/>
    <s v="Office Chair"/>
    <s v="Furniture"/>
    <n v="5"/>
    <x v="180"/>
    <x v="180"/>
    <n v="0.16296137773963792"/>
    <s v="High"/>
  </r>
  <r>
    <s v="ORD0182"/>
    <d v="2026-05-15T00:00:00"/>
    <x v="1"/>
    <s v="Office Chair"/>
    <s v="Furniture"/>
    <n v="3"/>
    <x v="181"/>
    <x v="181"/>
    <n v="0.20841583585183124"/>
    <s v="High"/>
  </r>
  <r>
    <s v="ORD0183"/>
    <d v="2026-02-27T00:00:00"/>
    <x v="0"/>
    <s v="Cabinet"/>
    <s v="Furniture"/>
    <n v="2"/>
    <x v="182"/>
    <x v="182"/>
    <n v="0.15583931839058013"/>
    <s v="High"/>
  </r>
  <r>
    <s v="ORD0184"/>
    <d v="2026-06-25T00:00:00"/>
    <x v="1"/>
    <s v="Pen Set"/>
    <s v="Stationery"/>
    <n v="3"/>
    <x v="183"/>
    <x v="183"/>
    <n v="9.6860870479564501E-2"/>
    <s v="High"/>
  </r>
  <r>
    <s v="ORD0185"/>
    <d v="2026-04-14T00:00:00"/>
    <x v="2"/>
    <s v="Office Chair"/>
    <s v="Furniture"/>
    <n v="2"/>
    <x v="184"/>
    <x v="184"/>
    <n v="5.2761684355402148E-2"/>
    <s v="High"/>
  </r>
  <r>
    <s v="ORD0186"/>
    <d v="2026-04-03T00:00:00"/>
    <x v="1"/>
    <s v="Office Chair"/>
    <s v="Furniture"/>
    <n v="10"/>
    <x v="185"/>
    <x v="185"/>
    <n v="0.2387081177164517"/>
    <s v="High"/>
  </r>
  <r>
    <s v="ORD0187"/>
    <d v="2026-06-20T00:00:00"/>
    <x v="1"/>
    <s v="Monitor"/>
    <s v="Electronics"/>
    <n v="10"/>
    <x v="186"/>
    <x v="186"/>
    <n v="0.21708366836004339"/>
    <s v="High"/>
  </r>
  <r>
    <s v="ORD0188"/>
    <d v="2026-05-15T00:00:00"/>
    <x v="1"/>
    <s v="Monitor"/>
    <s v="Electronics"/>
    <n v="5"/>
    <x v="187"/>
    <x v="187"/>
    <n v="0.17833500096014879"/>
    <s v="High"/>
  </r>
  <r>
    <s v="ORD0189"/>
    <d v="2026-02-13T00:00:00"/>
    <x v="3"/>
    <s v="Laptop"/>
    <s v="Electronics"/>
    <n v="9"/>
    <x v="188"/>
    <x v="188"/>
    <n v="7.46503615823568E-2"/>
    <s v="High"/>
  </r>
  <r>
    <s v="ORD0190"/>
    <d v="2026-04-27T00:00:00"/>
    <x v="0"/>
    <s v="Printer"/>
    <s v="Electronics"/>
    <n v="8"/>
    <x v="189"/>
    <x v="189"/>
    <n v="0.20810659310812449"/>
    <s v="High"/>
  </r>
  <r>
    <s v="ORD0191"/>
    <d v="2026-05-21T00:00:00"/>
    <x v="2"/>
    <s v="Pen Set"/>
    <s v="Stationery"/>
    <n v="10"/>
    <x v="190"/>
    <x v="190"/>
    <n v="0.23069362296233645"/>
    <s v="High"/>
  </r>
  <r>
    <s v="ORD0192"/>
    <d v="2026-05-16T00:00:00"/>
    <x v="0"/>
    <s v="Pen Set"/>
    <s v="Stationery"/>
    <n v="3"/>
    <x v="191"/>
    <x v="191"/>
    <n v="0.21053694915190455"/>
    <s v="High"/>
  </r>
  <r>
    <s v="ORD0193"/>
    <d v="2026-01-18T00:00:00"/>
    <x v="2"/>
    <s v="Notebook"/>
    <s v="Stationery"/>
    <n v="10"/>
    <x v="192"/>
    <x v="192"/>
    <n v="0.1178227354277494"/>
    <s v="High"/>
  </r>
  <r>
    <s v="ORD0194"/>
    <d v="2026-04-26T00:00:00"/>
    <x v="3"/>
    <s v="Desk"/>
    <s v="Furniture"/>
    <n v="10"/>
    <x v="193"/>
    <x v="193"/>
    <n v="7.1008419153574379E-2"/>
    <s v="High"/>
  </r>
  <r>
    <s v="ORD0195"/>
    <d v="2026-03-07T00:00:00"/>
    <x v="1"/>
    <s v="Cabinet"/>
    <s v="Furniture"/>
    <n v="5"/>
    <x v="194"/>
    <x v="194"/>
    <n v="0.20726893901525281"/>
    <s v="High"/>
  </r>
  <r>
    <s v="ORD0196"/>
    <d v="2026-04-16T00:00:00"/>
    <x v="3"/>
    <s v="Monitor"/>
    <s v="Electronics"/>
    <n v="5"/>
    <x v="195"/>
    <x v="195"/>
    <n v="0.24433496735374272"/>
    <s v="High"/>
  </r>
  <r>
    <s v="ORD0197"/>
    <d v="2026-01-28T00:00:00"/>
    <x v="0"/>
    <s v="Laptop"/>
    <s v="Electronics"/>
    <n v="9"/>
    <x v="196"/>
    <x v="196"/>
    <n v="0.19224613348016739"/>
    <s v="High"/>
  </r>
  <r>
    <s v="ORD0198"/>
    <d v="2026-03-25T00:00:00"/>
    <x v="3"/>
    <s v="Notebook"/>
    <s v="Stationery"/>
    <n v="7"/>
    <x v="197"/>
    <x v="197"/>
    <n v="0.21385869482424705"/>
    <s v="High"/>
  </r>
  <r>
    <s v="ORD0199"/>
    <d v="2026-01-20T00:00:00"/>
    <x v="3"/>
    <s v="Monitor"/>
    <s v="Electronics"/>
    <n v="2"/>
    <x v="198"/>
    <x v="198"/>
    <n v="7.0592250860285463E-2"/>
    <s v="High"/>
  </r>
  <r>
    <s v="ORD0200"/>
    <d v="2026-03-11T00:00:00"/>
    <x v="2"/>
    <s v="Notebook"/>
    <s v="Stationery"/>
    <n v="3"/>
    <x v="199"/>
    <x v="199"/>
    <n v="0.24571367868529828"/>
    <s v="High"/>
  </r>
  <r>
    <s v="ORD0201"/>
    <d v="2026-03-29T00:00:00"/>
    <x v="3"/>
    <s v="Printer"/>
    <s v="Electronics"/>
    <n v="8"/>
    <x v="200"/>
    <x v="200"/>
    <n v="0.18791979937201472"/>
    <s v="High"/>
  </r>
  <r>
    <s v="ORD0202"/>
    <d v="2026-03-04T00:00:00"/>
    <x v="2"/>
    <s v="Cabinet"/>
    <s v="Furniture"/>
    <n v="10"/>
    <x v="201"/>
    <x v="201"/>
    <n v="0.1600019729293328"/>
    <s v="High"/>
  </r>
  <r>
    <s v="ORD0203"/>
    <d v="2026-03-20T00:00:00"/>
    <x v="3"/>
    <s v="Monitor"/>
    <s v="Electronics"/>
    <n v="2"/>
    <x v="202"/>
    <x v="202"/>
    <n v="9.4926094528027222E-2"/>
    <s v="High"/>
  </r>
  <r>
    <s v="ORD0204"/>
    <d v="2026-04-29T00:00:00"/>
    <x v="2"/>
    <s v="Pen Set"/>
    <s v="Stationery"/>
    <n v="1"/>
    <x v="203"/>
    <x v="203"/>
    <n v="7.7031868858287181E-2"/>
    <s v="High"/>
  </r>
  <r>
    <s v="ORD0205"/>
    <d v="2026-03-28T00:00:00"/>
    <x v="2"/>
    <s v="Pen Set"/>
    <s v="Stationery"/>
    <n v="4"/>
    <x v="204"/>
    <x v="204"/>
    <n v="0.24690358631165099"/>
    <s v="High"/>
  </r>
  <r>
    <s v="ORD0206"/>
    <d v="2026-05-18T00:00:00"/>
    <x v="2"/>
    <s v="Desk"/>
    <s v="Furniture"/>
    <n v="1"/>
    <x v="205"/>
    <x v="205"/>
    <n v="7.6677003358321769E-2"/>
    <s v="High"/>
  </r>
  <r>
    <s v="ORD0207"/>
    <d v="2026-06-22T00:00:00"/>
    <x v="1"/>
    <s v="Desk"/>
    <s v="Furniture"/>
    <n v="7"/>
    <x v="206"/>
    <x v="206"/>
    <n v="0.2329862164692211"/>
    <s v="High"/>
  </r>
  <r>
    <s v="ORD0208"/>
    <d v="2026-01-01T00:00:00"/>
    <x v="0"/>
    <s v="Cabinet"/>
    <s v="Furniture"/>
    <n v="8"/>
    <x v="207"/>
    <x v="207"/>
    <n v="0.21228819796662038"/>
    <s v="High"/>
  </r>
  <r>
    <s v="ORD0209"/>
    <d v="2026-01-23T00:00:00"/>
    <x v="2"/>
    <s v="Pen Set"/>
    <s v="Stationery"/>
    <n v="9"/>
    <x v="208"/>
    <x v="208"/>
    <n v="0.15576623226119113"/>
    <s v="High"/>
  </r>
  <r>
    <s v="ORD0210"/>
    <d v="2026-03-08T00:00:00"/>
    <x v="2"/>
    <s v="Notebook"/>
    <s v="Stationery"/>
    <n v="5"/>
    <x v="209"/>
    <x v="209"/>
    <n v="8.282566473709517E-2"/>
    <s v="High"/>
  </r>
  <r>
    <s v="ORD0211"/>
    <d v="2026-05-04T00:00:00"/>
    <x v="0"/>
    <s v="Desk"/>
    <s v="Furniture"/>
    <n v="1"/>
    <x v="210"/>
    <x v="210"/>
    <n v="0.19131161798333124"/>
    <s v="High"/>
  </r>
  <r>
    <s v="ORD0212"/>
    <d v="2026-05-17T00:00:00"/>
    <x v="1"/>
    <s v="Cabinet"/>
    <s v="Furniture"/>
    <n v="5"/>
    <x v="211"/>
    <x v="211"/>
    <n v="0.20672007642080995"/>
    <s v="High"/>
  </r>
  <r>
    <s v="ORD0213"/>
    <d v="2026-05-31T00:00:00"/>
    <x v="2"/>
    <s v="Desk"/>
    <s v="Furniture"/>
    <n v="3"/>
    <x v="212"/>
    <x v="212"/>
    <n v="0.18569107656743877"/>
    <s v="High"/>
  </r>
  <r>
    <s v="ORD0214"/>
    <d v="2026-01-27T00:00:00"/>
    <x v="0"/>
    <s v="Desk"/>
    <s v="Furniture"/>
    <n v="1"/>
    <x v="213"/>
    <x v="213"/>
    <n v="9.7135869250315199E-2"/>
    <s v="High"/>
  </r>
  <r>
    <s v="ORD0215"/>
    <d v="2026-05-30T00:00:00"/>
    <x v="1"/>
    <s v="Notebook"/>
    <s v="Stationery"/>
    <n v="4"/>
    <x v="214"/>
    <x v="214"/>
    <n v="0.24510753910373939"/>
    <s v="High"/>
  </r>
  <r>
    <s v="ORD0216"/>
    <d v="2026-05-20T00:00:00"/>
    <x v="2"/>
    <s v="Cabinet"/>
    <s v="Furniture"/>
    <n v="6"/>
    <x v="215"/>
    <x v="215"/>
    <n v="0.12277985046327104"/>
    <s v="High"/>
  </r>
  <r>
    <s v="ORD0217"/>
    <d v="2026-02-11T00:00:00"/>
    <x v="2"/>
    <s v="Office Chair"/>
    <s v="Furniture"/>
    <n v="3"/>
    <x v="216"/>
    <x v="216"/>
    <n v="0.23539052295190335"/>
    <s v="High"/>
  </r>
  <r>
    <s v="ORD0218"/>
    <d v="2026-03-10T00:00:00"/>
    <x v="3"/>
    <s v="Printer"/>
    <s v="Electronics"/>
    <n v="6"/>
    <x v="217"/>
    <x v="217"/>
    <n v="9.4024216074371822E-2"/>
    <s v="High"/>
  </r>
  <r>
    <s v="ORD0219"/>
    <d v="2026-04-19T00:00:00"/>
    <x v="1"/>
    <s v="Notebook"/>
    <s v="Stationery"/>
    <n v="2"/>
    <x v="218"/>
    <x v="218"/>
    <n v="0.18437256503589164"/>
    <s v="High"/>
  </r>
  <r>
    <s v="ORD0220"/>
    <d v="2026-04-28T00:00:00"/>
    <x v="3"/>
    <s v="Cabinet"/>
    <s v="Furniture"/>
    <n v="7"/>
    <x v="219"/>
    <x v="219"/>
    <n v="0.16167646787997639"/>
    <s v="Medium"/>
  </r>
  <r>
    <s v="ORD0221"/>
    <d v="2026-01-05T00:00:00"/>
    <x v="1"/>
    <s v="Cabinet"/>
    <s v="Furniture"/>
    <n v="3"/>
    <x v="220"/>
    <x v="220"/>
    <n v="0.16782924857469703"/>
    <s v="High"/>
  </r>
  <r>
    <s v="ORD0222"/>
    <d v="2026-01-14T00:00:00"/>
    <x v="0"/>
    <s v="Cabinet"/>
    <s v="Furniture"/>
    <n v="3"/>
    <x v="221"/>
    <x v="221"/>
    <n v="0.12817658088771039"/>
    <s v="High"/>
  </r>
  <r>
    <s v="ORD0223"/>
    <d v="2026-01-19T00:00:00"/>
    <x v="2"/>
    <s v="Desk"/>
    <s v="Furniture"/>
    <n v="5"/>
    <x v="222"/>
    <x v="222"/>
    <n v="0.20599492917308407"/>
    <s v="High"/>
  </r>
  <r>
    <s v="ORD0224"/>
    <d v="2026-04-12T00:00:00"/>
    <x v="1"/>
    <s v="Office Chair"/>
    <s v="Furniture"/>
    <n v="4"/>
    <x v="223"/>
    <x v="223"/>
    <n v="0.13782691071488987"/>
    <s v="Medium"/>
  </r>
  <r>
    <s v="ORD0225"/>
    <d v="2026-04-06T00:00:00"/>
    <x v="2"/>
    <s v="Office Chair"/>
    <s v="Furniture"/>
    <n v="6"/>
    <x v="224"/>
    <x v="224"/>
    <n v="0.18923656543837281"/>
    <s v="High"/>
  </r>
  <r>
    <s v="ORD0226"/>
    <d v="2026-02-17T00:00:00"/>
    <x v="1"/>
    <s v="Notebook"/>
    <s v="Stationery"/>
    <n v="9"/>
    <x v="225"/>
    <x v="225"/>
    <n v="0.12020043296091112"/>
    <s v="High"/>
  </r>
  <r>
    <s v="ORD0227"/>
    <d v="2026-03-07T00:00:00"/>
    <x v="3"/>
    <s v="Laptop"/>
    <s v="Electronics"/>
    <n v="2"/>
    <x v="226"/>
    <x v="226"/>
    <n v="0.15967858609760735"/>
    <s v="High"/>
  </r>
  <r>
    <s v="ORD0228"/>
    <d v="2026-03-05T00:00:00"/>
    <x v="2"/>
    <s v="Office Chair"/>
    <s v="Furniture"/>
    <n v="10"/>
    <x v="227"/>
    <x v="227"/>
    <n v="0.13735466593256759"/>
    <s v="High"/>
  </r>
  <r>
    <s v="ORD0229"/>
    <d v="2026-02-03T00:00:00"/>
    <x v="1"/>
    <s v="Printer"/>
    <s v="Electronics"/>
    <n v="9"/>
    <x v="228"/>
    <x v="228"/>
    <n v="0.18826072622595713"/>
    <s v="High"/>
  </r>
  <r>
    <s v="ORD0230"/>
    <d v="2026-01-11T00:00:00"/>
    <x v="3"/>
    <s v="Pen Set"/>
    <s v="Stationery"/>
    <n v="5"/>
    <x v="229"/>
    <x v="229"/>
    <n v="0.20363952069910826"/>
    <s v="High"/>
  </r>
  <r>
    <s v="ORD0231"/>
    <d v="2026-04-30T00:00:00"/>
    <x v="0"/>
    <s v="Office Chair"/>
    <s v="Furniture"/>
    <n v="10"/>
    <x v="230"/>
    <x v="230"/>
    <n v="0.11597930930297237"/>
    <s v="High"/>
  </r>
  <r>
    <s v="ORD0232"/>
    <d v="2026-03-18T00:00:00"/>
    <x v="2"/>
    <s v="Desk"/>
    <s v="Furniture"/>
    <n v="7"/>
    <x v="231"/>
    <x v="231"/>
    <n v="6.4454374513149684E-2"/>
    <s v="High"/>
  </r>
  <r>
    <s v="ORD0233"/>
    <d v="2026-03-26T00:00:00"/>
    <x v="0"/>
    <s v="Laptop"/>
    <s v="Electronics"/>
    <n v="8"/>
    <x v="232"/>
    <x v="232"/>
    <n v="0.2403126214454194"/>
    <s v="High"/>
  </r>
  <r>
    <s v="ORD0234"/>
    <d v="2026-03-15T00:00:00"/>
    <x v="3"/>
    <s v="Pen Set"/>
    <s v="Stationery"/>
    <n v="6"/>
    <x v="233"/>
    <x v="233"/>
    <n v="9.6997405208449197E-2"/>
    <s v="High"/>
  </r>
  <r>
    <s v="ORD0235"/>
    <d v="2026-01-24T00:00:00"/>
    <x v="3"/>
    <s v="Pen Set"/>
    <s v="Stationery"/>
    <n v="10"/>
    <x v="234"/>
    <x v="234"/>
    <n v="0.23291193521932138"/>
    <s v="High"/>
  </r>
  <r>
    <s v="ORD0236"/>
    <d v="2026-03-06T00:00:00"/>
    <x v="2"/>
    <s v="Cabinet"/>
    <s v="Furniture"/>
    <n v="9"/>
    <x v="235"/>
    <x v="235"/>
    <n v="0.2393589800416655"/>
    <s v="High"/>
  </r>
  <r>
    <s v="ORD0237"/>
    <d v="2026-05-16T00:00:00"/>
    <x v="1"/>
    <s v="Printer"/>
    <s v="Electronics"/>
    <n v="1"/>
    <x v="236"/>
    <x v="236"/>
    <n v="0.24828322273159906"/>
    <s v="High"/>
  </r>
  <r>
    <s v="ORD0238"/>
    <d v="2026-05-22T00:00:00"/>
    <x v="1"/>
    <s v="Notebook"/>
    <s v="Stationery"/>
    <n v="3"/>
    <x v="237"/>
    <x v="237"/>
    <n v="0.15906479613115471"/>
    <s v="High"/>
  </r>
  <r>
    <s v="ORD0239"/>
    <d v="2026-04-25T00:00:00"/>
    <x v="2"/>
    <s v="Office Chair"/>
    <s v="Furniture"/>
    <n v="9"/>
    <x v="238"/>
    <x v="238"/>
    <n v="0.14874819331585676"/>
    <s v="High"/>
  </r>
  <r>
    <s v="ORD0240"/>
    <d v="2026-06-05T00:00:00"/>
    <x v="2"/>
    <s v="Cabinet"/>
    <s v="Furniture"/>
    <n v="9"/>
    <x v="239"/>
    <x v="239"/>
    <n v="0.1160572373824424"/>
    <s v="Medium"/>
  </r>
  <r>
    <s v="ORD0241"/>
    <d v="2026-04-23T00:00:00"/>
    <x v="3"/>
    <s v="Printer"/>
    <s v="Electronics"/>
    <n v="5"/>
    <x v="240"/>
    <x v="240"/>
    <n v="0.23144479460951559"/>
    <s v="High"/>
  </r>
  <r>
    <s v="ORD0242"/>
    <d v="2026-02-28T00:00:00"/>
    <x v="3"/>
    <s v="Office Chair"/>
    <s v="Furniture"/>
    <n v="8"/>
    <x v="241"/>
    <x v="241"/>
    <n v="0.17604031173343557"/>
    <s v="Medium"/>
  </r>
  <r>
    <s v="ORD0243"/>
    <d v="2026-01-09T00:00:00"/>
    <x v="3"/>
    <s v="Notebook"/>
    <s v="Stationery"/>
    <n v="4"/>
    <x v="242"/>
    <x v="242"/>
    <n v="0.12499487207379789"/>
    <s v="High"/>
  </r>
  <r>
    <s v="ORD0244"/>
    <d v="2026-05-06T00:00:00"/>
    <x v="3"/>
    <s v="Printer"/>
    <s v="Electronics"/>
    <n v="9"/>
    <x v="243"/>
    <x v="243"/>
    <n v="0.24083786786921374"/>
    <s v="High"/>
  </r>
  <r>
    <s v="ORD0245"/>
    <d v="2026-04-24T00:00:00"/>
    <x v="3"/>
    <s v="Office Chair"/>
    <s v="Furniture"/>
    <n v="3"/>
    <x v="244"/>
    <x v="244"/>
    <n v="0.1504230164724992"/>
    <s v="High"/>
  </r>
  <r>
    <s v="ORD0246"/>
    <d v="2026-02-07T00:00:00"/>
    <x v="1"/>
    <s v="Cabinet"/>
    <s v="Furniture"/>
    <n v="6"/>
    <x v="245"/>
    <x v="245"/>
    <n v="0.24098665298197441"/>
    <s v="High"/>
  </r>
  <r>
    <s v="ORD0247"/>
    <d v="2026-05-09T00:00:00"/>
    <x v="2"/>
    <s v="Laptop"/>
    <s v="Electronics"/>
    <n v="8"/>
    <x v="246"/>
    <x v="246"/>
    <n v="9.9325379035873351E-2"/>
    <s v="High"/>
  </r>
  <r>
    <s v="ORD0248"/>
    <d v="2026-01-08T00:00:00"/>
    <x v="3"/>
    <s v="Pen Set"/>
    <s v="Stationery"/>
    <n v="4"/>
    <x v="247"/>
    <x v="247"/>
    <n v="0.10273630550114797"/>
    <s v="High"/>
  </r>
  <r>
    <s v="ORD0249"/>
    <d v="2026-06-17T00:00:00"/>
    <x v="1"/>
    <s v="Notebook"/>
    <s v="Stationery"/>
    <n v="1"/>
    <x v="248"/>
    <x v="248"/>
    <n v="0.16498733793411008"/>
    <s v="High"/>
  </r>
  <r>
    <s v="ORD0250"/>
    <d v="2026-03-08T00:00:00"/>
    <x v="2"/>
    <s v="Office Chair"/>
    <s v="Furniture"/>
    <n v="1"/>
    <x v="249"/>
    <x v="249"/>
    <n v="0.13109568650292855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36E64-FD7D-4085-AF96-E9951C9AB7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">
  <location ref="E3:F12" firstHeaderRow="1" firstDataRow="1" firstDataCol="1"/>
  <pivotFields count="11">
    <pivotField showAll="0"/>
    <pivotField numFmtId="14" showAll="0">
      <items count="139">
        <item x="17"/>
        <item x="82"/>
        <item x="105"/>
        <item x="38"/>
        <item x="76"/>
        <item x="56"/>
        <item x="135"/>
        <item x="37"/>
        <item x="106"/>
        <item x="20"/>
        <item x="21"/>
        <item x="12"/>
        <item x="65"/>
        <item x="129"/>
        <item x="121"/>
        <item x="48"/>
        <item x="124"/>
        <item x="86"/>
        <item x="46"/>
        <item x="2"/>
        <item x="102"/>
        <item x="85"/>
        <item x="31"/>
        <item x="60"/>
        <item x="84"/>
        <item x="62"/>
        <item x="136"/>
        <item x="33"/>
        <item x="7"/>
        <item x="97"/>
        <item x="22"/>
        <item x="83"/>
        <item x="45"/>
        <item x="49"/>
        <item x="104"/>
        <item x="9"/>
        <item x="67"/>
        <item x="89"/>
        <item x="4"/>
        <item x="34"/>
        <item x="90"/>
        <item x="134"/>
        <item x="107"/>
        <item x="70"/>
        <item x="72"/>
        <item x="131"/>
        <item x="30"/>
        <item x="119"/>
        <item x="112"/>
        <item x="58"/>
        <item x="80"/>
        <item x="122"/>
        <item x="73"/>
        <item x="11"/>
        <item x="96"/>
        <item x="132"/>
        <item x="51"/>
        <item x="13"/>
        <item x="55"/>
        <item x="24"/>
        <item x="99"/>
        <item x="74"/>
        <item x="19"/>
        <item x="94"/>
        <item x="43"/>
        <item x="8"/>
        <item x="54"/>
        <item x="81"/>
        <item x="87"/>
        <item x="115"/>
        <item x="77"/>
        <item x="88"/>
        <item x="57"/>
        <item x="78"/>
        <item x="75"/>
        <item x="95"/>
        <item x="40"/>
        <item x="130"/>
        <item x="63"/>
        <item x="114"/>
        <item x="120"/>
        <item x="50"/>
        <item x="127"/>
        <item x="5"/>
        <item x="92"/>
        <item x="39"/>
        <item x="133"/>
        <item x="100"/>
        <item x="71"/>
        <item x="118"/>
        <item x="26"/>
        <item x="128"/>
        <item x="41"/>
        <item x="14"/>
        <item x="91"/>
        <item x="15"/>
        <item x="16"/>
        <item x="47"/>
        <item x="3"/>
        <item x="69"/>
        <item x="68"/>
        <item x="35"/>
        <item x="18"/>
        <item x="0"/>
        <item x="117"/>
        <item x="66"/>
        <item x="123"/>
        <item x="1"/>
        <item x="126"/>
        <item x="116"/>
        <item x="111"/>
        <item x="25"/>
        <item x="79"/>
        <item x="44"/>
        <item x="101"/>
        <item x="109"/>
        <item x="64"/>
        <item x="125"/>
        <item x="61"/>
        <item x="36"/>
        <item x="27"/>
        <item x="103"/>
        <item x="6"/>
        <item x="52"/>
        <item x="29"/>
        <item x="28"/>
        <item x="98"/>
        <item x="137"/>
        <item x="23"/>
        <item x="53"/>
        <item x="108"/>
        <item x="59"/>
        <item x="42"/>
        <item x="93"/>
        <item x="113"/>
        <item x="10"/>
        <item x="110"/>
        <item x="32"/>
        <item t="default"/>
      </items>
    </pivotField>
    <pivotField showAll="0"/>
    <pivotField axis="axisRow" showAll="0" sortType="descending">
      <items count="9">
        <item x="5"/>
        <item x="4"/>
        <item x="3"/>
        <item x="0"/>
        <item x="7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 v="2"/>
    </i>
    <i>
      <x v="3"/>
    </i>
    <i>
      <x v="6"/>
    </i>
    <i>
      <x v="1"/>
    </i>
    <i>
      <x v="7"/>
    </i>
    <i>
      <x v="4"/>
    </i>
    <i>
      <x v="5"/>
    </i>
    <i>
      <x/>
    </i>
    <i t="grand">
      <x/>
    </i>
  </rowItems>
  <colItems count="1">
    <i/>
  </colItems>
  <dataFields count="1">
    <dataField name="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7CF64-E0D3-4101-8292-DBC8158074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11">
    <pivotField showAll="0"/>
    <pivotField numFmtId="14" showAll="0">
      <items count="139">
        <item x="17"/>
        <item x="82"/>
        <item x="105"/>
        <item x="38"/>
        <item x="76"/>
        <item x="56"/>
        <item x="135"/>
        <item x="37"/>
        <item x="106"/>
        <item x="20"/>
        <item x="21"/>
        <item x="12"/>
        <item x="65"/>
        <item x="129"/>
        <item x="121"/>
        <item x="48"/>
        <item x="124"/>
        <item x="86"/>
        <item x="46"/>
        <item x="2"/>
        <item x="102"/>
        <item x="85"/>
        <item x="31"/>
        <item x="60"/>
        <item x="84"/>
        <item x="62"/>
        <item x="136"/>
        <item x="33"/>
        <item x="7"/>
        <item x="97"/>
        <item x="22"/>
        <item x="83"/>
        <item x="45"/>
        <item x="49"/>
        <item x="104"/>
        <item x="9"/>
        <item x="67"/>
        <item x="89"/>
        <item x="4"/>
        <item x="34"/>
        <item x="90"/>
        <item x="134"/>
        <item x="107"/>
        <item x="70"/>
        <item x="72"/>
        <item x="131"/>
        <item x="30"/>
        <item x="119"/>
        <item x="112"/>
        <item x="58"/>
        <item x="80"/>
        <item x="122"/>
        <item x="73"/>
        <item x="11"/>
        <item x="96"/>
        <item x="132"/>
        <item x="51"/>
        <item x="13"/>
        <item x="55"/>
        <item x="24"/>
        <item x="99"/>
        <item x="74"/>
        <item x="19"/>
        <item x="94"/>
        <item x="43"/>
        <item x="8"/>
        <item x="54"/>
        <item x="81"/>
        <item x="87"/>
        <item x="115"/>
        <item x="77"/>
        <item x="88"/>
        <item x="57"/>
        <item x="78"/>
        <item x="75"/>
        <item x="95"/>
        <item x="40"/>
        <item x="130"/>
        <item x="63"/>
        <item x="114"/>
        <item x="120"/>
        <item x="50"/>
        <item x="127"/>
        <item x="5"/>
        <item x="92"/>
        <item x="39"/>
        <item x="133"/>
        <item x="100"/>
        <item x="71"/>
        <item x="118"/>
        <item x="26"/>
        <item x="128"/>
        <item x="41"/>
        <item x="14"/>
        <item x="91"/>
        <item x="15"/>
        <item x="16"/>
        <item x="47"/>
        <item x="3"/>
        <item x="69"/>
        <item x="68"/>
        <item x="35"/>
        <item x="18"/>
        <item x="0"/>
        <item x="117"/>
        <item x="66"/>
        <item x="123"/>
        <item x="1"/>
        <item x="126"/>
        <item x="116"/>
        <item x="111"/>
        <item x="25"/>
        <item x="79"/>
        <item x="44"/>
        <item x="101"/>
        <item x="109"/>
        <item x="64"/>
        <item x="125"/>
        <item x="61"/>
        <item x="36"/>
        <item x="27"/>
        <item x="103"/>
        <item x="6"/>
        <item x="52"/>
        <item x="29"/>
        <item x="28"/>
        <item x="98"/>
        <item x="137"/>
        <item x="23"/>
        <item x="53"/>
        <item x="108"/>
        <item x="59"/>
        <item x="42"/>
        <item x="93"/>
        <item x="113"/>
        <item x="10"/>
        <item x="110"/>
        <item x="3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>
      <items count="251">
        <item x="129"/>
        <item x="223"/>
        <item x="28"/>
        <item x="249"/>
        <item x="69"/>
        <item x="62"/>
        <item x="139"/>
        <item x="61"/>
        <item x="140"/>
        <item x="137"/>
        <item x="150"/>
        <item x="144"/>
        <item x="6"/>
        <item x="114"/>
        <item x="73"/>
        <item x="219"/>
        <item x="46"/>
        <item x="10"/>
        <item x="239"/>
        <item x="136"/>
        <item x="241"/>
        <item x="91"/>
        <item x="56"/>
        <item x="145"/>
        <item x="108"/>
        <item x="162"/>
        <item x="126"/>
        <item x="8"/>
        <item x="105"/>
        <item x="188"/>
        <item x="212"/>
        <item x="9"/>
        <item x="74"/>
        <item x="18"/>
        <item x="201"/>
        <item x="128"/>
        <item x="157"/>
        <item x="203"/>
        <item x="228"/>
        <item x="58"/>
        <item x="7"/>
        <item x="217"/>
        <item x="101"/>
        <item x="187"/>
        <item x="173"/>
        <item x="98"/>
        <item x="70"/>
        <item x="196"/>
        <item x="65"/>
        <item x="24"/>
        <item x="159"/>
        <item x="42"/>
        <item x="247"/>
        <item x="106"/>
        <item x="32"/>
        <item x="131"/>
        <item x="218"/>
        <item x="112"/>
        <item x="84"/>
        <item x="21"/>
        <item x="53"/>
        <item x="55"/>
        <item x="215"/>
        <item x="240"/>
        <item x="50"/>
        <item x="160"/>
        <item x="95"/>
        <item x="158"/>
        <item x="175"/>
        <item x="225"/>
        <item x="163"/>
        <item x="52"/>
        <item x="182"/>
        <item x="168"/>
        <item x="248"/>
        <item x="89"/>
        <item x="164"/>
        <item x="198"/>
        <item x="167"/>
        <item x="209"/>
        <item x="149"/>
        <item x="165"/>
        <item x="117"/>
        <item x="205"/>
        <item x="190"/>
        <item x="81"/>
        <item x="226"/>
        <item x="96"/>
        <item x="207"/>
        <item x="47"/>
        <item x="71"/>
        <item x="189"/>
        <item x="30"/>
        <item x="99"/>
        <item x="147"/>
        <item x="102"/>
        <item x="113"/>
        <item x="35"/>
        <item x="138"/>
        <item x="75"/>
        <item x="229"/>
        <item x="155"/>
        <item x="4"/>
        <item x="68"/>
        <item x="43"/>
        <item x="236"/>
        <item x="148"/>
        <item x="206"/>
        <item x="135"/>
        <item x="22"/>
        <item x="67"/>
        <item x="78"/>
        <item x="246"/>
        <item x="16"/>
        <item x="125"/>
        <item x="202"/>
        <item x="49"/>
        <item x="152"/>
        <item x="11"/>
        <item x="82"/>
        <item x="72"/>
        <item x="51"/>
        <item x="211"/>
        <item x="92"/>
        <item x="63"/>
        <item x="180"/>
        <item x="194"/>
        <item x="233"/>
        <item x="186"/>
        <item x="44"/>
        <item x="213"/>
        <item x="142"/>
        <item x="12"/>
        <item x="54"/>
        <item x="122"/>
        <item x="17"/>
        <item x="121"/>
        <item x="20"/>
        <item x="221"/>
        <item x="3"/>
        <item x="174"/>
        <item x="29"/>
        <item x="119"/>
        <item x="235"/>
        <item x="243"/>
        <item x="77"/>
        <item x="166"/>
        <item x="195"/>
        <item x="41"/>
        <item x="153"/>
        <item x="48"/>
        <item x="103"/>
        <item x="83"/>
        <item x="214"/>
        <item x="45"/>
        <item x="88"/>
        <item x="27"/>
        <item x="234"/>
        <item x="245"/>
        <item x="181"/>
        <item x="31"/>
        <item x="232"/>
        <item x="151"/>
        <item x="208"/>
        <item x="14"/>
        <item x="34"/>
        <item x="238"/>
        <item x="177"/>
        <item x="124"/>
        <item x="120"/>
        <item x="231"/>
        <item x="66"/>
        <item x="197"/>
        <item x="87"/>
        <item x="192"/>
        <item x="115"/>
        <item x="76"/>
        <item x="184"/>
        <item x="80"/>
        <item x="156"/>
        <item x="170"/>
        <item x="26"/>
        <item x="104"/>
        <item x="141"/>
        <item x="216"/>
        <item x="23"/>
        <item x="172"/>
        <item x="130"/>
        <item x="37"/>
        <item x="191"/>
        <item x="25"/>
        <item x="183"/>
        <item x="227"/>
        <item x="242"/>
        <item x="200"/>
        <item x="111"/>
        <item x="169"/>
        <item x="143"/>
        <item x="85"/>
        <item x="127"/>
        <item x="5"/>
        <item x="93"/>
        <item x="38"/>
        <item x="244"/>
        <item x="13"/>
        <item x="60"/>
        <item x="199"/>
        <item x="36"/>
        <item x="176"/>
        <item x="133"/>
        <item x="0"/>
        <item x="161"/>
        <item x="94"/>
        <item x="210"/>
        <item x="107"/>
        <item x="1"/>
        <item x="237"/>
        <item x="224"/>
        <item x="230"/>
        <item x="118"/>
        <item x="100"/>
        <item x="178"/>
        <item x="123"/>
        <item x="57"/>
        <item x="146"/>
        <item x="64"/>
        <item x="193"/>
        <item x="154"/>
        <item x="86"/>
        <item x="15"/>
        <item x="132"/>
        <item x="222"/>
        <item x="97"/>
        <item x="33"/>
        <item x="39"/>
        <item x="110"/>
        <item x="19"/>
        <item x="171"/>
        <item x="2"/>
        <item x="79"/>
        <item x="179"/>
        <item x="134"/>
        <item x="116"/>
        <item x="59"/>
        <item x="204"/>
        <item x="90"/>
        <item x="220"/>
        <item x="109"/>
        <item x="185"/>
        <item x="40"/>
        <item t="default"/>
      </items>
    </pivotField>
    <pivotField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" fld="6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099BF-8EC2-4313-8706-BD943DAD53C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onth">
  <location ref="H3:I10" firstHeaderRow="1" firstDataRow="1" firstDataCol="1"/>
  <pivotFields count="11">
    <pivotField showAll="0"/>
    <pivotField axis="axisRow" numFmtId="14" showAll="0">
      <items count="139">
        <item x="17"/>
        <item x="82"/>
        <item x="105"/>
        <item x="38"/>
        <item x="76"/>
        <item x="56"/>
        <item x="135"/>
        <item x="37"/>
        <item x="106"/>
        <item x="20"/>
        <item x="21"/>
        <item x="12"/>
        <item x="65"/>
        <item x="129"/>
        <item x="121"/>
        <item x="48"/>
        <item x="124"/>
        <item x="86"/>
        <item x="46"/>
        <item x="2"/>
        <item x="102"/>
        <item x="85"/>
        <item x="31"/>
        <item x="60"/>
        <item x="84"/>
        <item x="62"/>
        <item x="136"/>
        <item x="33"/>
        <item x="7"/>
        <item x="97"/>
        <item x="22"/>
        <item x="83"/>
        <item x="45"/>
        <item x="49"/>
        <item x="104"/>
        <item x="9"/>
        <item x="67"/>
        <item x="89"/>
        <item x="4"/>
        <item x="34"/>
        <item x="90"/>
        <item x="134"/>
        <item x="107"/>
        <item x="70"/>
        <item x="72"/>
        <item x="131"/>
        <item x="30"/>
        <item x="119"/>
        <item x="112"/>
        <item x="58"/>
        <item x="80"/>
        <item x="122"/>
        <item x="73"/>
        <item x="11"/>
        <item x="96"/>
        <item x="132"/>
        <item x="51"/>
        <item x="13"/>
        <item x="55"/>
        <item x="24"/>
        <item x="99"/>
        <item x="74"/>
        <item x="19"/>
        <item x="94"/>
        <item x="43"/>
        <item x="8"/>
        <item x="54"/>
        <item x="81"/>
        <item x="87"/>
        <item x="115"/>
        <item x="77"/>
        <item x="88"/>
        <item x="57"/>
        <item x="78"/>
        <item x="75"/>
        <item x="95"/>
        <item x="40"/>
        <item x="130"/>
        <item x="63"/>
        <item x="114"/>
        <item x="120"/>
        <item x="50"/>
        <item x="127"/>
        <item x="5"/>
        <item x="92"/>
        <item x="39"/>
        <item x="133"/>
        <item x="100"/>
        <item x="71"/>
        <item x="118"/>
        <item x="26"/>
        <item x="128"/>
        <item x="41"/>
        <item x="14"/>
        <item x="91"/>
        <item x="15"/>
        <item x="16"/>
        <item x="47"/>
        <item x="3"/>
        <item x="69"/>
        <item x="68"/>
        <item x="35"/>
        <item x="18"/>
        <item x="0"/>
        <item x="117"/>
        <item x="66"/>
        <item x="123"/>
        <item x="1"/>
        <item x="126"/>
        <item x="116"/>
        <item x="111"/>
        <item x="25"/>
        <item x="79"/>
        <item x="44"/>
        <item x="101"/>
        <item x="109"/>
        <item x="64"/>
        <item x="125"/>
        <item x="61"/>
        <item x="36"/>
        <item x="27"/>
        <item x="103"/>
        <item x="6"/>
        <item x="52"/>
        <item x="29"/>
        <item x="28"/>
        <item x="98"/>
        <item x="137"/>
        <item x="23"/>
        <item x="53"/>
        <item x="108"/>
        <item x="59"/>
        <item x="42"/>
        <item x="93"/>
        <item x="113"/>
        <item x="10"/>
        <item x="110"/>
        <item x="32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0"/>
    <field x="9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8E8FF-DCAB-43F6-90AF-7CA7A0527D9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Items count="1">
    <i/>
  </rowItems>
  <colItems count="1">
    <i/>
  </colItems>
  <dataFields count="1">
    <dataField name="Average of Profit margin" fld="8" subtotal="average" baseField="0" baseItem="0" numFmtId="10"/>
  </dataFields>
  <formats count="4">
    <format dxfId="16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11FD8-EF73-4193-9B3C-0B84E613D45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</pivotFields>
  <rowItems count="1">
    <i/>
  </rowItems>
  <colItems count="1">
    <i/>
  </colItems>
  <dataFields count="1">
    <dataField name="Sum of Profit" fld="7" baseField="0" baseItem="0"/>
  </dataFields>
  <formats count="3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ED6A8-6024-4BCB-94A0-1BCE3B96D1A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dataField="1" showAll="0">
      <items count="251">
        <item x="129"/>
        <item x="223"/>
        <item x="28"/>
        <item x="249"/>
        <item x="69"/>
        <item x="62"/>
        <item x="139"/>
        <item x="61"/>
        <item x="140"/>
        <item x="137"/>
        <item x="150"/>
        <item x="144"/>
        <item x="6"/>
        <item x="114"/>
        <item x="73"/>
        <item x="219"/>
        <item x="46"/>
        <item x="10"/>
        <item x="239"/>
        <item x="136"/>
        <item x="241"/>
        <item x="91"/>
        <item x="56"/>
        <item x="145"/>
        <item x="108"/>
        <item x="162"/>
        <item x="126"/>
        <item x="8"/>
        <item x="105"/>
        <item x="188"/>
        <item x="212"/>
        <item x="9"/>
        <item x="74"/>
        <item x="18"/>
        <item x="201"/>
        <item x="128"/>
        <item x="157"/>
        <item x="203"/>
        <item x="228"/>
        <item x="58"/>
        <item x="7"/>
        <item x="217"/>
        <item x="101"/>
        <item x="187"/>
        <item x="173"/>
        <item x="98"/>
        <item x="70"/>
        <item x="196"/>
        <item x="65"/>
        <item x="24"/>
        <item x="159"/>
        <item x="42"/>
        <item x="247"/>
        <item x="106"/>
        <item x="32"/>
        <item x="131"/>
        <item x="218"/>
        <item x="112"/>
        <item x="84"/>
        <item x="21"/>
        <item x="53"/>
        <item x="55"/>
        <item x="215"/>
        <item x="240"/>
        <item x="50"/>
        <item x="160"/>
        <item x="95"/>
        <item x="158"/>
        <item x="175"/>
        <item x="225"/>
        <item x="163"/>
        <item x="52"/>
        <item x="182"/>
        <item x="168"/>
        <item x="248"/>
        <item x="89"/>
        <item x="164"/>
        <item x="198"/>
        <item x="167"/>
        <item x="209"/>
        <item x="149"/>
        <item x="165"/>
        <item x="117"/>
        <item x="205"/>
        <item x="190"/>
        <item x="81"/>
        <item x="226"/>
        <item x="96"/>
        <item x="207"/>
        <item x="47"/>
        <item x="71"/>
        <item x="189"/>
        <item x="30"/>
        <item x="99"/>
        <item x="147"/>
        <item x="102"/>
        <item x="113"/>
        <item x="35"/>
        <item x="138"/>
        <item x="75"/>
        <item x="229"/>
        <item x="155"/>
        <item x="4"/>
        <item x="68"/>
        <item x="43"/>
        <item x="236"/>
        <item x="148"/>
        <item x="206"/>
        <item x="135"/>
        <item x="22"/>
        <item x="67"/>
        <item x="78"/>
        <item x="246"/>
        <item x="16"/>
        <item x="125"/>
        <item x="202"/>
        <item x="49"/>
        <item x="152"/>
        <item x="11"/>
        <item x="82"/>
        <item x="72"/>
        <item x="51"/>
        <item x="211"/>
        <item x="92"/>
        <item x="63"/>
        <item x="180"/>
        <item x="194"/>
        <item x="233"/>
        <item x="186"/>
        <item x="44"/>
        <item x="213"/>
        <item x="142"/>
        <item x="12"/>
        <item x="54"/>
        <item x="122"/>
        <item x="17"/>
        <item x="121"/>
        <item x="20"/>
        <item x="221"/>
        <item x="3"/>
        <item x="174"/>
        <item x="29"/>
        <item x="119"/>
        <item x="235"/>
        <item x="243"/>
        <item x="77"/>
        <item x="166"/>
        <item x="195"/>
        <item x="41"/>
        <item x="153"/>
        <item x="48"/>
        <item x="103"/>
        <item x="83"/>
        <item x="214"/>
        <item x="45"/>
        <item x="88"/>
        <item x="27"/>
        <item x="234"/>
        <item x="245"/>
        <item x="181"/>
        <item x="31"/>
        <item x="232"/>
        <item x="151"/>
        <item x="208"/>
        <item x="14"/>
        <item x="34"/>
        <item x="238"/>
        <item x="177"/>
        <item x="124"/>
        <item x="120"/>
        <item x="231"/>
        <item x="66"/>
        <item x="197"/>
        <item x="87"/>
        <item x="192"/>
        <item x="115"/>
        <item x="76"/>
        <item x="184"/>
        <item x="80"/>
        <item x="156"/>
        <item x="170"/>
        <item x="26"/>
        <item x="104"/>
        <item x="141"/>
        <item x="216"/>
        <item x="23"/>
        <item x="172"/>
        <item x="130"/>
        <item x="37"/>
        <item x="191"/>
        <item x="25"/>
        <item x="183"/>
        <item x="227"/>
        <item x="242"/>
        <item x="200"/>
        <item x="111"/>
        <item x="169"/>
        <item x="143"/>
        <item x="85"/>
        <item x="127"/>
        <item x="5"/>
        <item x="93"/>
        <item x="38"/>
        <item x="244"/>
        <item x="13"/>
        <item x="60"/>
        <item x="199"/>
        <item x="36"/>
        <item x="176"/>
        <item x="133"/>
        <item x="0"/>
        <item x="161"/>
        <item x="94"/>
        <item x="210"/>
        <item x="107"/>
        <item x="1"/>
        <item x="237"/>
        <item x="224"/>
        <item x="230"/>
        <item x="118"/>
        <item x="100"/>
        <item x="178"/>
        <item x="123"/>
        <item x="57"/>
        <item x="146"/>
        <item x="64"/>
        <item x="193"/>
        <item x="154"/>
        <item x="86"/>
        <item x="15"/>
        <item x="132"/>
        <item x="222"/>
        <item x="97"/>
        <item x="33"/>
        <item x="39"/>
        <item x="110"/>
        <item x="19"/>
        <item x="171"/>
        <item x="2"/>
        <item x="79"/>
        <item x="179"/>
        <item x="134"/>
        <item x="116"/>
        <item x="59"/>
        <item x="204"/>
        <item x="90"/>
        <item x="220"/>
        <item x="109"/>
        <item x="185"/>
        <item x="40"/>
        <item t="default"/>
      </items>
    </pivotField>
    <pivotField showAll="0"/>
    <pivotField numFmtId="164" showAll="0"/>
    <pivotField showAll="0"/>
  </pivotFields>
  <rowItems count="1">
    <i/>
  </rowItems>
  <colItems count="1">
    <i/>
  </colItems>
  <dataFields count="1">
    <dataField name="Sum of Total Sales" fld="6" baseField="0" baseItem="0"/>
  </dataFields>
  <formats count="3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054CD-A04A-4051-AF19-55C63799EDF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0"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</pivotFields>
  <rowItems count="1">
    <i/>
  </rowItems>
  <colItems count="1">
    <i/>
  </colItems>
  <dataFields count="1">
    <dataField name="Sum of Quantity" fld="5" baseField="0" baseItem="0"/>
  </dataFields>
  <formats count="3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D7A66-8753-463B-993A-59EBFAD48CC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7" firstHeaderRow="1" firstDataRow="1" firstDataCol="1"/>
  <pivotFields count="10">
    <pivotField showAll="0"/>
    <pivotField numFmtId="1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>
      <items count="251">
        <item x="69"/>
        <item x="62"/>
        <item x="61"/>
        <item x="249"/>
        <item x="223"/>
        <item x="129"/>
        <item x="140"/>
        <item x="28"/>
        <item x="114"/>
        <item x="144"/>
        <item x="145"/>
        <item x="137"/>
        <item x="150"/>
        <item x="139"/>
        <item x="136"/>
        <item x="6"/>
        <item x="58"/>
        <item x="9"/>
        <item x="239"/>
        <item x="188"/>
        <item x="10"/>
        <item x="65"/>
        <item x="7"/>
        <item x="219"/>
        <item x="203"/>
        <item x="56"/>
        <item x="8"/>
        <item x="241"/>
        <item x="112"/>
        <item x="162"/>
        <item x="46"/>
        <item x="73"/>
        <item x="157"/>
        <item x="126"/>
        <item x="32"/>
        <item x="217"/>
        <item x="108"/>
        <item x="91"/>
        <item x="131"/>
        <item x="105"/>
        <item x="160"/>
        <item x="96"/>
        <item x="198"/>
        <item x="18"/>
        <item x="201"/>
        <item x="55"/>
        <item x="212"/>
        <item x="247"/>
        <item x="167"/>
        <item x="67"/>
        <item x="89"/>
        <item x="163"/>
        <item x="173"/>
        <item x="74"/>
        <item x="209"/>
        <item x="205"/>
        <item x="68"/>
        <item x="117"/>
        <item x="24"/>
        <item x="42"/>
        <item x="98"/>
        <item x="106"/>
        <item x="228"/>
        <item x="78"/>
        <item x="95"/>
        <item x="187"/>
        <item x="50"/>
        <item x="147"/>
        <item x="158"/>
        <item x="159"/>
        <item x="215"/>
        <item x="168"/>
        <item x="101"/>
        <item x="225"/>
        <item x="119"/>
        <item x="12"/>
        <item x="51"/>
        <item x="16"/>
        <item x="128"/>
        <item x="196"/>
        <item x="70"/>
        <item x="184"/>
        <item x="165"/>
        <item x="80"/>
        <item x="202"/>
        <item x="218"/>
        <item x="13"/>
        <item x="246"/>
        <item x="231"/>
        <item x="182"/>
        <item x="103"/>
        <item x="146"/>
        <item x="92"/>
        <item x="82"/>
        <item x="84"/>
        <item x="49"/>
        <item x="233"/>
        <item x="54"/>
        <item x="52"/>
        <item x="248"/>
        <item x="213"/>
        <item x="135"/>
        <item x="53"/>
        <item x="26"/>
        <item x="149"/>
        <item x="226"/>
        <item x="21"/>
        <item x="90"/>
        <item x="104"/>
        <item x="14"/>
        <item x="133"/>
        <item x="240"/>
        <item x="141"/>
        <item x="125"/>
        <item x="35"/>
        <item x="63"/>
        <item x="193"/>
        <item x="122"/>
        <item x="60"/>
        <item x="99"/>
        <item x="164"/>
        <item x="85"/>
        <item x="221"/>
        <item x="76"/>
        <item x="175"/>
        <item x="40"/>
        <item x="102"/>
        <item x="47"/>
        <item x="11"/>
        <item x="174"/>
        <item x="22"/>
        <item x="183"/>
        <item x="17"/>
        <item x="207"/>
        <item x="44"/>
        <item x="4"/>
        <item x="189"/>
        <item x="29"/>
        <item x="155"/>
        <item x="113"/>
        <item x="190"/>
        <item x="172"/>
        <item x="229"/>
        <item x="177"/>
        <item x="180"/>
        <item x="75"/>
        <item x="72"/>
        <item x="118"/>
        <item x="153"/>
        <item x="37"/>
        <item x="192"/>
        <item x="81"/>
        <item x="30"/>
        <item x="130"/>
        <item x="27"/>
        <item x="93"/>
        <item x="31"/>
        <item x="138"/>
        <item x="71"/>
        <item x="115"/>
        <item x="109"/>
        <item x="43"/>
        <item x="66"/>
        <item x="148"/>
        <item x="5"/>
        <item x="156"/>
        <item x="206"/>
        <item x="242"/>
        <item x="25"/>
        <item x="20"/>
        <item x="211"/>
        <item x="111"/>
        <item x="236"/>
        <item x="0"/>
        <item x="238"/>
        <item x="57"/>
        <item x="48"/>
        <item x="230"/>
        <item x="194"/>
        <item x="208"/>
        <item x="227"/>
        <item x="166"/>
        <item x="45"/>
        <item x="171"/>
        <item x="152"/>
        <item x="88"/>
        <item x="186"/>
        <item x="77"/>
        <item x="161"/>
        <item x="3"/>
        <item x="79"/>
        <item x="120"/>
        <item x="121"/>
        <item x="142"/>
        <item x="244"/>
        <item x="41"/>
        <item x="181"/>
        <item x="87"/>
        <item x="235"/>
        <item x="170"/>
        <item x="243"/>
        <item x="1"/>
        <item x="83"/>
        <item x="237"/>
        <item x="59"/>
        <item x="195"/>
        <item x="200"/>
        <item x="234"/>
        <item x="214"/>
        <item x="197"/>
        <item x="154"/>
        <item x="151"/>
        <item x="176"/>
        <item x="245"/>
        <item x="232"/>
        <item x="191"/>
        <item x="124"/>
        <item x="210"/>
        <item x="19"/>
        <item x="34"/>
        <item x="224"/>
        <item x="64"/>
        <item x="143"/>
        <item x="169"/>
        <item x="100"/>
        <item x="216"/>
        <item x="220"/>
        <item x="179"/>
        <item x="86"/>
        <item x="94"/>
        <item x="23"/>
        <item x="97"/>
        <item x="127"/>
        <item x="38"/>
        <item x="178"/>
        <item x="15"/>
        <item x="2"/>
        <item x="36"/>
        <item x="132"/>
        <item x="222"/>
        <item x="134"/>
        <item x="107"/>
        <item x="116"/>
        <item x="110"/>
        <item x="199"/>
        <item x="33"/>
        <item x="39"/>
        <item x="123"/>
        <item x="185"/>
        <item x="204"/>
        <item t="default"/>
      </items>
    </pivotField>
    <pivotField numFmtId="16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7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workbookViewId="0">
      <selection activeCell="B4" sqref="B4"/>
    </sheetView>
  </sheetViews>
  <sheetFormatPr defaultRowHeight="14.4" x14ac:dyDescent="0.3"/>
  <cols>
    <col min="1" max="1" width="9.6640625" style="1" customWidth="1"/>
    <col min="2" max="2" width="12.109375" style="2" customWidth="1"/>
    <col min="3" max="3" width="12.109375" style="3" customWidth="1"/>
    <col min="4" max="5" width="12.109375" style="1" customWidth="1"/>
    <col min="6" max="6" width="8.88671875" style="1"/>
    <col min="7" max="7" width="12.109375" style="1" customWidth="1"/>
    <col min="8" max="8" width="9" style="1" bestFit="1" customWidth="1"/>
    <col min="9" max="9" width="12.77734375" customWidth="1"/>
    <col min="10" max="10" width="13.77734375" style="11" bestFit="1" customWidth="1"/>
  </cols>
  <sheetData>
    <row r="1" spans="1:10" x14ac:dyDescent="0.3">
      <c r="A1" s="7" t="s">
        <v>0</v>
      </c>
      <c r="B1" s="8" t="s">
        <v>1</v>
      </c>
      <c r="C1" s="9" t="s">
        <v>2</v>
      </c>
      <c r="D1" s="7" t="s">
        <v>3</v>
      </c>
      <c r="E1" s="7" t="s">
        <v>4</v>
      </c>
      <c r="F1" s="7" t="s">
        <v>6</v>
      </c>
      <c r="G1" s="7" t="s">
        <v>272</v>
      </c>
      <c r="H1" s="7" t="s">
        <v>5</v>
      </c>
      <c r="I1" s="7" t="s">
        <v>286</v>
      </c>
      <c r="J1" s="10" t="s">
        <v>287</v>
      </c>
    </row>
    <row r="2" spans="1:10" x14ac:dyDescent="0.3">
      <c r="A2" s="1" t="s">
        <v>7</v>
      </c>
      <c r="B2" s="2">
        <v>46157</v>
      </c>
      <c r="C2" s="3" t="s">
        <v>8</v>
      </c>
      <c r="D2" s="1" t="s">
        <v>9</v>
      </c>
      <c r="E2" s="1" t="s">
        <v>10</v>
      </c>
      <c r="F2" s="1">
        <v>3</v>
      </c>
      <c r="G2" s="1">
        <v>48656.49</v>
      </c>
      <c r="H2" s="1">
        <v>5666.94</v>
      </c>
      <c r="I2" s="4">
        <f>H2/G2</f>
        <v>0.1164683272467866</v>
      </c>
      <c r="J2" s="11" t="str">
        <f>IF(G2&gt;5000,"High","Medium")</f>
        <v>High</v>
      </c>
    </row>
    <row r="3" spans="1:10" x14ac:dyDescent="0.3">
      <c r="A3" s="1" t="s">
        <v>11</v>
      </c>
      <c r="B3" s="2">
        <v>46161</v>
      </c>
      <c r="C3" s="3" t="s">
        <v>12</v>
      </c>
      <c r="D3" s="1" t="s">
        <v>13</v>
      </c>
      <c r="E3" s="1" t="s">
        <v>14</v>
      </c>
      <c r="F3" s="1">
        <v>4</v>
      </c>
      <c r="G3" s="1">
        <v>49364.5</v>
      </c>
      <c r="H3" s="1">
        <v>7869.29</v>
      </c>
      <c r="I3" s="4">
        <f t="shared" ref="I3:I66" si="0">H3/G3</f>
        <v>0.15941192557404613</v>
      </c>
      <c r="J3" s="11" t="str">
        <f t="shared" ref="J3:J66" si="1">IF(G3&gt;5000,"High","Medium")</f>
        <v>High</v>
      </c>
    </row>
    <row r="4" spans="1:10" x14ac:dyDescent="0.3">
      <c r="A4" s="1" t="s">
        <v>15</v>
      </c>
      <c r="B4" s="2">
        <v>46050</v>
      </c>
      <c r="C4" s="3" t="s">
        <v>16</v>
      </c>
      <c r="D4" s="1" t="s">
        <v>17</v>
      </c>
      <c r="E4" s="1" t="s">
        <v>18</v>
      </c>
      <c r="F4" s="1">
        <v>7</v>
      </c>
      <c r="G4" s="1">
        <v>56814.46</v>
      </c>
      <c r="H4" s="1">
        <v>11156.3</v>
      </c>
      <c r="I4" s="4">
        <f t="shared" si="0"/>
        <v>0.19636374261059594</v>
      </c>
      <c r="J4" s="11" t="str">
        <f t="shared" si="1"/>
        <v>High</v>
      </c>
    </row>
    <row r="5" spans="1:10" x14ac:dyDescent="0.3">
      <c r="A5" s="1" t="s">
        <v>19</v>
      </c>
      <c r="B5" s="2">
        <v>46148</v>
      </c>
      <c r="C5" s="3" t="s">
        <v>12</v>
      </c>
      <c r="D5" s="1" t="s">
        <v>20</v>
      </c>
      <c r="E5" s="1" t="s">
        <v>14</v>
      </c>
      <c r="F5" s="1">
        <v>9</v>
      </c>
      <c r="G5" s="1">
        <v>31591.55</v>
      </c>
      <c r="H5" s="1">
        <v>6728.73</v>
      </c>
      <c r="I5" s="4">
        <f t="shared" si="0"/>
        <v>0.21299144866269618</v>
      </c>
      <c r="J5" s="11" t="str">
        <f t="shared" si="1"/>
        <v>High</v>
      </c>
    </row>
    <row r="6" spans="1:10" x14ac:dyDescent="0.3">
      <c r="A6" s="1" t="s">
        <v>21</v>
      </c>
      <c r="B6" s="2">
        <v>46077</v>
      </c>
      <c r="C6" s="3" t="s">
        <v>16</v>
      </c>
      <c r="D6" s="1" t="s">
        <v>22</v>
      </c>
      <c r="E6" s="1" t="s">
        <v>10</v>
      </c>
      <c r="F6" s="1">
        <v>5</v>
      </c>
      <c r="G6" s="1">
        <v>22168.67</v>
      </c>
      <c r="H6" s="1">
        <v>4276.49</v>
      </c>
      <c r="I6" s="4">
        <f t="shared" si="0"/>
        <v>0.19290692675744645</v>
      </c>
      <c r="J6" s="11" t="str">
        <f t="shared" si="1"/>
        <v>High</v>
      </c>
    </row>
    <row r="7" spans="1:10" x14ac:dyDescent="0.3">
      <c r="A7" s="1" t="s">
        <v>23</v>
      </c>
      <c r="B7" s="2">
        <v>46132</v>
      </c>
      <c r="C7" s="3" t="s">
        <v>24</v>
      </c>
      <c r="D7" s="1" t="s">
        <v>17</v>
      </c>
      <c r="E7" s="1" t="s">
        <v>18</v>
      </c>
      <c r="F7" s="1">
        <v>9</v>
      </c>
      <c r="G7" s="1">
        <v>47135.54</v>
      </c>
      <c r="H7" s="1">
        <v>5300.13</v>
      </c>
      <c r="I7" s="4">
        <f t="shared" si="0"/>
        <v>0.11244445274202863</v>
      </c>
      <c r="J7" s="11" t="str">
        <f t="shared" si="1"/>
        <v>High</v>
      </c>
    </row>
    <row r="8" spans="1:10" x14ac:dyDescent="0.3">
      <c r="A8" s="1" t="s">
        <v>25</v>
      </c>
      <c r="B8" s="2">
        <v>46182</v>
      </c>
      <c r="C8" s="3" t="s">
        <v>24</v>
      </c>
      <c r="D8" s="1" t="s">
        <v>9</v>
      </c>
      <c r="E8" s="1" t="s">
        <v>10</v>
      </c>
      <c r="F8" s="1">
        <v>5</v>
      </c>
      <c r="G8" s="1">
        <v>3249.37</v>
      </c>
      <c r="H8" s="1">
        <v>382.56</v>
      </c>
      <c r="I8" s="4">
        <f t="shared" si="0"/>
        <v>0.11773359143464733</v>
      </c>
      <c r="J8" s="11" t="str">
        <f t="shared" si="1"/>
        <v>Medium</v>
      </c>
    </row>
    <row r="9" spans="1:10" x14ac:dyDescent="0.3">
      <c r="A9" s="1" t="s">
        <v>26</v>
      </c>
      <c r="B9" s="2">
        <v>46063</v>
      </c>
      <c r="C9" s="3" t="s">
        <v>12</v>
      </c>
      <c r="D9" s="1" t="s">
        <v>13</v>
      </c>
      <c r="E9" s="1" t="s">
        <v>14</v>
      </c>
      <c r="F9" s="1">
        <v>3</v>
      </c>
      <c r="G9" s="1">
        <v>9522.42</v>
      </c>
      <c r="H9" s="1">
        <v>646.22</v>
      </c>
      <c r="I9" s="4">
        <f t="shared" si="0"/>
        <v>6.7863001211876814E-2</v>
      </c>
      <c r="J9" s="11" t="str">
        <f t="shared" si="1"/>
        <v>High</v>
      </c>
    </row>
    <row r="10" spans="1:10" x14ac:dyDescent="0.3">
      <c r="A10" s="1" t="s">
        <v>27</v>
      </c>
      <c r="B10" s="2">
        <v>46110</v>
      </c>
      <c r="C10" s="3" t="s">
        <v>24</v>
      </c>
      <c r="D10" s="1" t="s">
        <v>22</v>
      </c>
      <c r="E10" s="1" t="s">
        <v>10</v>
      </c>
      <c r="F10" s="1">
        <v>1</v>
      </c>
      <c r="G10" s="1">
        <v>5128.32</v>
      </c>
      <c r="H10" s="1">
        <v>749.61</v>
      </c>
      <c r="I10" s="4">
        <f t="shared" si="0"/>
        <v>0.1461706757768626</v>
      </c>
      <c r="J10" s="11" t="str">
        <f t="shared" si="1"/>
        <v>High</v>
      </c>
    </row>
    <row r="11" spans="1:10" x14ac:dyDescent="0.3">
      <c r="A11" s="1" t="s">
        <v>28</v>
      </c>
      <c r="B11" s="2">
        <v>46074</v>
      </c>
      <c r="C11" s="3" t="s">
        <v>24</v>
      </c>
      <c r="D11" s="1" t="s">
        <v>29</v>
      </c>
      <c r="E11" s="1" t="s">
        <v>18</v>
      </c>
      <c r="F11" s="1">
        <v>7</v>
      </c>
      <c r="G11" s="1">
        <v>6817.73</v>
      </c>
      <c r="H11" s="1">
        <v>480.19</v>
      </c>
      <c r="I11" s="4">
        <f t="shared" si="0"/>
        <v>7.0432533995919464E-2</v>
      </c>
      <c r="J11" s="11" t="str">
        <f t="shared" si="1"/>
        <v>High</v>
      </c>
    </row>
    <row r="12" spans="1:10" x14ac:dyDescent="0.3">
      <c r="A12" s="1" t="s">
        <v>30</v>
      </c>
      <c r="B12" s="2">
        <v>46199</v>
      </c>
      <c r="C12" s="3" t="s">
        <v>24</v>
      </c>
      <c r="D12" s="1" t="s">
        <v>29</v>
      </c>
      <c r="E12" s="1" t="s">
        <v>18</v>
      </c>
      <c r="F12" s="1">
        <v>4</v>
      </c>
      <c r="G12" s="1">
        <v>4205.45</v>
      </c>
      <c r="H12" s="1">
        <v>538.20000000000005</v>
      </c>
      <c r="I12" s="4">
        <f t="shared" si="0"/>
        <v>0.12797679201987899</v>
      </c>
      <c r="J12" s="11" t="str">
        <f t="shared" si="1"/>
        <v>Medium</v>
      </c>
    </row>
    <row r="13" spans="1:10" x14ac:dyDescent="0.3">
      <c r="A13" s="1" t="s">
        <v>31</v>
      </c>
      <c r="B13" s="2">
        <v>46094</v>
      </c>
      <c r="C13" s="3" t="s">
        <v>24</v>
      </c>
      <c r="D13" s="1" t="s">
        <v>32</v>
      </c>
      <c r="E13" s="1" t="s">
        <v>14</v>
      </c>
      <c r="F13" s="1">
        <v>8</v>
      </c>
      <c r="G13" s="1">
        <v>25951.67</v>
      </c>
      <c r="H13" s="1">
        <v>4152.5600000000004</v>
      </c>
      <c r="I13" s="4">
        <f t="shared" si="0"/>
        <v>0.16001128251091359</v>
      </c>
      <c r="J13" s="11" t="str">
        <f t="shared" si="1"/>
        <v>High</v>
      </c>
    </row>
    <row r="14" spans="1:10" x14ac:dyDescent="0.3">
      <c r="A14" s="1" t="s">
        <v>33</v>
      </c>
      <c r="B14" s="2">
        <v>46039</v>
      </c>
      <c r="C14" s="3" t="s">
        <v>24</v>
      </c>
      <c r="D14" s="1" t="s">
        <v>32</v>
      </c>
      <c r="E14" s="1" t="s">
        <v>14</v>
      </c>
      <c r="F14" s="1">
        <v>10</v>
      </c>
      <c r="G14" s="1">
        <v>29808.98</v>
      </c>
      <c r="H14" s="1">
        <v>1990.67</v>
      </c>
      <c r="I14" s="4">
        <f t="shared" si="0"/>
        <v>6.6780882807798189E-2</v>
      </c>
      <c r="J14" s="11" t="str">
        <f t="shared" si="1"/>
        <v>High</v>
      </c>
    </row>
    <row r="15" spans="1:10" x14ac:dyDescent="0.3">
      <c r="A15" s="1" t="s">
        <v>34</v>
      </c>
      <c r="B15" s="2">
        <v>46098</v>
      </c>
      <c r="C15" s="3" t="s">
        <v>12</v>
      </c>
      <c r="D15" s="1" t="s">
        <v>22</v>
      </c>
      <c r="E15" s="1" t="s">
        <v>10</v>
      </c>
      <c r="F15" s="1">
        <v>7</v>
      </c>
      <c r="G15" s="1">
        <v>47542.45</v>
      </c>
      <c r="H15" s="1">
        <v>2454.4299999999998</v>
      </c>
      <c r="I15" s="4">
        <f t="shared" si="0"/>
        <v>5.1626073119917043E-2</v>
      </c>
      <c r="J15" s="11" t="str">
        <f t="shared" si="1"/>
        <v>High</v>
      </c>
    </row>
    <row r="16" spans="1:10" x14ac:dyDescent="0.3">
      <c r="A16" s="1" t="s">
        <v>35</v>
      </c>
      <c r="B16" s="2">
        <v>46142</v>
      </c>
      <c r="C16" s="3" t="s">
        <v>8</v>
      </c>
      <c r="D16" s="1" t="s">
        <v>36</v>
      </c>
      <c r="E16" s="1" t="s">
        <v>18</v>
      </c>
      <c r="F16" s="1">
        <v>2</v>
      </c>
      <c r="G16" s="1">
        <v>37998.730000000003</v>
      </c>
      <c r="H16" s="1">
        <v>3471.57</v>
      </c>
      <c r="I16" s="4">
        <f t="shared" si="0"/>
        <v>9.1360158615827414E-2</v>
      </c>
      <c r="J16" s="11" t="str">
        <f t="shared" si="1"/>
        <v>High</v>
      </c>
    </row>
    <row r="17" spans="1:10" x14ac:dyDescent="0.3">
      <c r="A17" s="1" t="s">
        <v>37</v>
      </c>
      <c r="B17" s="2">
        <v>46145</v>
      </c>
      <c r="C17" s="3" t="s">
        <v>8</v>
      </c>
      <c r="D17" s="1" t="s">
        <v>20</v>
      </c>
      <c r="E17" s="1" t="s">
        <v>14</v>
      </c>
      <c r="F17" s="1">
        <v>9</v>
      </c>
      <c r="G17" s="1">
        <v>54556.31</v>
      </c>
      <c r="H17" s="1">
        <v>11145.79</v>
      </c>
      <c r="I17" s="4">
        <f t="shared" si="0"/>
        <v>0.20429882446228495</v>
      </c>
      <c r="J17" s="11" t="str">
        <f t="shared" si="1"/>
        <v>High</v>
      </c>
    </row>
    <row r="18" spans="1:10" x14ac:dyDescent="0.3">
      <c r="A18" s="1" t="s">
        <v>38</v>
      </c>
      <c r="B18" s="2">
        <v>46146</v>
      </c>
      <c r="C18" s="3" t="s">
        <v>8</v>
      </c>
      <c r="D18" s="1" t="s">
        <v>36</v>
      </c>
      <c r="E18" s="1" t="s">
        <v>18</v>
      </c>
      <c r="F18" s="1">
        <v>10</v>
      </c>
      <c r="G18" s="1">
        <v>24923.31</v>
      </c>
      <c r="H18" s="1">
        <v>1995.24</v>
      </c>
      <c r="I18" s="4">
        <f t="shared" si="0"/>
        <v>8.0055177261768196E-2</v>
      </c>
      <c r="J18" s="11" t="str">
        <f t="shared" si="1"/>
        <v>High</v>
      </c>
    </row>
    <row r="19" spans="1:10" x14ac:dyDescent="0.3">
      <c r="A19" s="1" t="s">
        <v>39</v>
      </c>
      <c r="B19" s="2">
        <v>46023</v>
      </c>
      <c r="C19" s="3" t="s">
        <v>16</v>
      </c>
      <c r="D19" s="1" t="s">
        <v>17</v>
      </c>
      <c r="E19" s="1" t="s">
        <v>18</v>
      </c>
      <c r="F19" s="1">
        <v>4</v>
      </c>
      <c r="G19" s="1">
        <v>30624.46</v>
      </c>
      <c r="H19" s="1">
        <v>4226.57</v>
      </c>
      <c r="I19" s="4">
        <f t="shared" si="0"/>
        <v>0.13801288251286717</v>
      </c>
      <c r="J19" s="11" t="str">
        <f t="shared" si="1"/>
        <v>High</v>
      </c>
    </row>
    <row r="20" spans="1:10" x14ac:dyDescent="0.3">
      <c r="A20" s="1" t="s">
        <v>40</v>
      </c>
      <c r="B20" s="2">
        <v>46155</v>
      </c>
      <c r="C20" s="3" t="s">
        <v>16</v>
      </c>
      <c r="D20" s="1" t="s">
        <v>22</v>
      </c>
      <c r="E20" s="1" t="s">
        <v>10</v>
      </c>
      <c r="F20" s="1">
        <v>6</v>
      </c>
      <c r="G20" s="1">
        <v>7616.71</v>
      </c>
      <c r="H20" s="1">
        <v>1228.77</v>
      </c>
      <c r="I20" s="4">
        <f t="shared" si="0"/>
        <v>0.16132555919813146</v>
      </c>
      <c r="J20" s="11" t="str">
        <f t="shared" si="1"/>
        <v>High</v>
      </c>
    </row>
    <row r="21" spans="1:10" x14ac:dyDescent="0.3">
      <c r="A21" s="1" t="s">
        <v>41</v>
      </c>
      <c r="B21" s="2">
        <v>46106</v>
      </c>
      <c r="C21" s="3" t="s">
        <v>24</v>
      </c>
      <c r="D21" s="1" t="s">
        <v>22</v>
      </c>
      <c r="E21" s="1" t="s">
        <v>10</v>
      </c>
      <c r="F21" s="1">
        <v>5</v>
      </c>
      <c r="G21" s="1">
        <v>56334.67</v>
      </c>
      <c r="H21" s="1">
        <v>9445.43</v>
      </c>
      <c r="I21" s="4">
        <f t="shared" si="0"/>
        <v>0.16766637667354758</v>
      </c>
      <c r="J21" s="11" t="str">
        <f t="shared" si="1"/>
        <v>High</v>
      </c>
    </row>
    <row r="22" spans="1:10" x14ac:dyDescent="0.3">
      <c r="A22" s="1" t="s">
        <v>42</v>
      </c>
      <c r="B22" s="2">
        <v>46035</v>
      </c>
      <c r="C22" s="3" t="s">
        <v>24</v>
      </c>
      <c r="D22" s="1" t="s">
        <v>13</v>
      </c>
      <c r="E22" s="1" t="s">
        <v>14</v>
      </c>
      <c r="F22" s="1">
        <v>9</v>
      </c>
      <c r="G22" s="1">
        <v>31038.52</v>
      </c>
      <c r="H22" s="1">
        <v>5460.09</v>
      </c>
      <c r="I22" s="4">
        <f t="shared" si="0"/>
        <v>0.17591334896122623</v>
      </c>
      <c r="J22" s="11" t="str">
        <f t="shared" si="1"/>
        <v>High</v>
      </c>
    </row>
    <row r="23" spans="1:10" x14ac:dyDescent="0.3">
      <c r="A23" s="1" t="s">
        <v>43</v>
      </c>
      <c r="B23" s="2">
        <v>46036</v>
      </c>
      <c r="C23" s="3" t="s">
        <v>12</v>
      </c>
      <c r="D23" s="1" t="s">
        <v>22</v>
      </c>
      <c r="E23" s="1" t="s">
        <v>10</v>
      </c>
      <c r="F23" s="1">
        <v>5</v>
      </c>
      <c r="G23" s="1">
        <v>14604.99</v>
      </c>
      <c r="H23" s="1">
        <v>3163.09</v>
      </c>
      <c r="I23" s="4">
        <f t="shared" si="0"/>
        <v>0.21657597848406607</v>
      </c>
      <c r="J23" s="11" t="str">
        <f t="shared" si="1"/>
        <v>High</v>
      </c>
    </row>
    <row r="24" spans="1:10" x14ac:dyDescent="0.3">
      <c r="A24" s="1" t="s">
        <v>44</v>
      </c>
      <c r="B24" s="2">
        <v>46157</v>
      </c>
      <c r="C24" s="3" t="s">
        <v>8</v>
      </c>
      <c r="D24" s="1" t="s">
        <v>36</v>
      </c>
      <c r="E24" s="1" t="s">
        <v>18</v>
      </c>
      <c r="F24" s="1">
        <v>6</v>
      </c>
      <c r="G24" s="1">
        <v>23668.15</v>
      </c>
      <c r="H24" s="1">
        <v>4187.13</v>
      </c>
      <c r="I24" s="4">
        <f t="shared" si="0"/>
        <v>0.17690989790076536</v>
      </c>
      <c r="J24" s="11" t="str">
        <f t="shared" si="1"/>
        <v>High</v>
      </c>
    </row>
    <row r="25" spans="1:10" x14ac:dyDescent="0.3">
      <c r="A25" s="1" t="s">
        <v>45</v>
      </c>
      <c r="B25" s="2">
        <v>46066</v>
      </c>
      <c r="C25" s="3" t="s">
        <v>24</v>
      </c>
      <c r="D25" s="1" t="s">
        <v>17</v>
      </c>
      <c r="E25" s="1" t="s">
        <v>18</v>
      </c>
      <c r="F25" s="1">
        <v>4</v>
      </c>
      <c r="G25" s="1">
        <v>41755.01</v>
      </c>
      <c r="H25" s="1">
        <v>10179.379999999999</v>
      </c>
      <c r="I25" s="4">
        <f t="shared" si="0"/>
        <v>0.24378823044228701</v>
      </c>
      <c r="J25" s="11" t="str">
        <f t="shared" si="1"/>
        <v>High</v>
      </c>
    </row>
    <row r="26" spans="1:10" x14ac:dyDescent="0.3">
      <c r="A26" s="1" t="s">
        <v>46</v>
      </c>
      <c r="B26" s="2">
        <v>46191</v>
      </c>
      <c r="C26" s="3" t="s">
        <v>12</v>
      </c>
      <c r="D26" s="1" t="s">
        <v>17</v>
      </c>
      <c r="E26" s="1" t="s">
        <v>18</v>
      </c>
      <c r="F26" s="1">
        <v>2</v>
      </c>
      <c r="G26" s="1">
        <v>11023.57</v>
      </c>
      <c r="H26" s="1">
        <v>1604.77</v>
      </c>
      <c r="I26" s="4">
        <f t="shared" si="0"/>
        <v>0.14557625161358798</v>
      </c>
      <c r="J26" s="11" t="str">
        <f t="shared" si="1"/>
        <v>High</v>
      </c>
    </row>
    <row r="27" spans="1:10" x14ac:dyDescent="0.3">
      <c r="A27" s="1" t="s">
        <v>47</v>
      </c>
      <c r="B27" s="2">
        <v>46100</v>
      </c>
      <c r="C27" s="3" t="s">
        <v>8</v>
      </c>
      <c r="D27" s="1" t="s">
        <v>36</v>
      </c>
      <c r="E27" s="1" t="s">
        <v>18</v>
      </c>
      <c r="F27" s="1">
        <v>8</v>
      </c>
      <c r="G27" s="1">
        <v>42936.1</v>
      </c>
      <c r="H27" s="1">
        <v>5444.37</v>
      </c>
      <c r="I27" s="4">
        <f t="shared" si="0"/>
        <v>0.12680168902159256</v>
      </c>
      <c r="J27" s="11" t="str">
        <f t="shared" si="1"/>
        <v>High</v>
      </c>
    </row>
    <row r="28" spans="1:10" x14ac:dyDescent="0.3">
      <c r="A28" s="1" t="s">
        <v>48</v>
      </c>
      <c r="B28" s="2">
        <v>46165</v>
      </c>
      <c r="C28" s="3" t="s">
        <v>16</v>
      </c>
      <c r="D28" s="1" t="s">
        <v>13</v>
      </c>
      <c r="E28" s="1" t="s">
        <v>14</v>
      </c>
      <c r="F28" s="1">
        <v>4</v>
      </c>
      <c r="G28" s="1">
        <v>41467.33</v>
      </c>
      <c r="H28" s="1">
        <v>3003.46</v>
      </c>
      <c r="I28" s="4">
        <f t="shared" si="0"/>
        <v>7.2429548755610737E-2</v>
      </c>
      <c r="J28" s="11" t="str">
        <f t="shared" si="1"/>
        <v>High</v>
      </c>
    </row>
    <row r="29" spans="1:10" x14ac:dyDescent="0.3">
      <c r="A29" s="1" t="s">
        <v>49</v>
      </c>
      <c r="B29" s="2">
        <v>46161</v>
      </c>
      <c r="C29" s="3" t="s">
        <v>16</v>
      </c>
      <c r="D29" s="1" t="s">
        <v>32</v>
      </c>
      <c r="E29" s="1" t="s">
        <v>14</v>
      </c>
      <c r="F29" s="1">
        <v>9</v>
      </c>
      <c r="G29" s="1">
        <v>35739.519999999997</v>
      </c>
      <c r="H29" s="1">
        <v>4883.13</v>
      </c>
      <c r="I29" s="4">
        <f t="shared" si="0"/>
        <v>0.13663110192862132</v>
      </c>
      <c r="J29" s="11" t="str">
        <f t="shared" si="1"/>
        <v>High</v>
      </c>
    </row>
    <row r="30" spans="1:10" x14ac:dyDescent="0.3">
      <c r="A30" s="1" t="s">
        <v>50</v>
      </c>
      <c r="B30" s="2">
        <v>46155</v>
      </c>
      <c r="C30" s="3" t="s">
        <v>24</v>
      </c>
      <c r="D30" s="1" t="s">
        <v>32</v>
      </c>
      <c r="E30" s="1" t="s">
        <v>14</v>
      </c>
      <c r="F30" s="1">
        <v>8</v>
      </c>
      <c r="G30" s="1">
        <v>1210.07</v>
      </c>
      <c r="H30" s="1">
        <v>180.8</v>
      </c>
      <c r="I30" s="4">
        <f t="shared" si="0"/>
        <v>0.14941284388506451</v>
      </c>
      <c r="J30" s="11" t="str">
        <f t="shared" si="1"/>
        <v>Medium</v>
      </c>
    </row>
    <row r="31" spans="1:10" x14ac:dyDescent="0.3">
      <c r="A31" s="1" t="s">
        <v>51</v>
      </c>
      <c r="B31" s="2">
        <v>46139</v>
      </c>
      <c r="C31" s="3" t="s">
        <v>12</v>
      </c>
      <c r="D31" s="1" t="s">
        <v>13</v>
      </c>
      <c r="E31" s="1" t="s">
        <v>14</v>
      </c>
      <c r="F31" s="1">
        <v>5</v>
      </c>
      <c r="G31" s="1">
        <v>31927.57</v>
      </c>
      <c r="H31" s="1">
        <v>4348.8500000000004</v>
      </c>
      <c r="I31" s="4">
        <f t="shared" si="0"/>
        <v>0.13620986501634796</v>
      </c>
      <c r="J31" s="11" t="str">
        <f t="shared" si="1"/>
        <v>High</v>
      </c>
    </row>
    <row r="32" spans="1:10" x14ac:dyDescent="0.3">
      <c r="A32" s="1" t="s">
        <v>52</v>
      </c>
      <c r="B32" s="2">
        <v>46178</v>
      </c>
      <c r="C32" s="3" t="s">
        <v>12</v>
      </c>
      <c r="D32" s="1" t="s">
        <v>22</v>
      </c>
      <c r="E32" s="1" t="s">
        <v>10</v>
      </c>
      <c r="F32" s="1">
        <v>5</v>
      </c>
      <c r="G32" s="1">
        <v>20791.34</v>
      </c>
      <c r="H32" s="1">
        <v>4849.34</v>
      </c>
      <c r="I32" s="4">
        <f t="shared" si="0"/>
        <v>0.23323845408713437</v>
      </c>
      <c r="J32" s="11" t="str">
        <f t="shared" si="1"/>
        <v>High</v>
      </c>
    </row>
    <row r="33" spans="1:10" x14ac:dyDescent="0.3">
      <c r="A33" s="1" t="s">
        <v>53</v>
      </c>
      <c r="B33" s="2">
        <v>46161</v>
      </c>
      <c r="C33" s="3" t="s">
        <v>24</v>
      </c>
      <c r="D33" s="1" t="s">
        <v>29</v>
      </c>
      <c r="E33" s="1" t="s">
        <v>18</v>
      </c>
      <c r="F33" s="1">
        <v>4</v>
      </c>
      <c r="G33" s="1">
        <v>36442.080000000002</v>
      </c>
      <c r="H33" s="1">
        <v>4952.93</v>
      </c>
      <c r="I33" s="4">
        <f t="shared" si="0"/>
        <v>0.13591238480350187</v>
      </c>
      <c r="J33" s="11" t="str">
        <f t="shared" si="1"/>
        <v>High</v>
      </c>
    </row>
    <row r="34" spans="1:10" x14ac:dyDescent="0.3">
      <c r="A34" s="1" t="s">
        <v>54</v>
      </c>
      <c r="B34" s="2">
        <v>46187</v>
      </c>
      <c r="C34" s="3" t="s">
        <v>8</v>
      </c>
      <c r="D34" s="1" t="s">
        <v>13</v>
      </c>
      <c r="E34" s="1" t="s">
        <v>14</v>
      </c>
      <c r="F34" s="1">
        <v>9</v>
      </c>
      <c r="G34" s="1">
        <v>12749.5</v>
      </c>
      <c r="H34" s="1">
        <v>919.32</v>
      </c>
      <c r="I34" s="4">
        <f t="shared" si="0"/>
        <v>7.210635711204362E-2</v>
      </c>
      <c r="J34" s="11" t="str">
        <f t="shared" si="1"/>
        <v>High</v>
      </c>
    </row>
    <row r="35" spans="1:10" x14ac:dyDescent="0.3">
      <c r="A35" s="1" t="s">
        <v>55</v>
      </c>
      <c r="B35" s="2">
        <v>46186</v>
      </c>
      <c r="C35" s="3" t="s">
        <v>16</v>
      </c>
      <c r="D35" s="1" t="s">
        <v>9</v>
      </c>
      <c r="E35" s="1" t="s">
        <v>10</v>
      </c>
      <c r="F35" s="1">
        <v>6</v>
      </c>
      <c r="G35" s="1">
        <v>55615.39</v>
      </c>
      <c r="H35" s="1">
        <v>12137.71</v>
      </c>
      <c r="I35" s="4">
        <f t="shared" si="0"/>
        <v>0.2182437271409946</v>
      </c>
      <c r="J35" s="11" t="str">
        <f t="shared" si="1"/>
        <v>High</v>
      </c>
    </row>
    <row r="36" spans="1:10" x14ac:dyDescent="0.3">
      <c r="A36" s="1" t="s">
        <v>56</v>
      </c>
      <c r="B36" s="2">
        <v>46087</v>
      </c>
      <c r="C36" s="3" t="s">
        <v>24</v>
      </c>
      <c r="D36" s="1" t="s">
        <v>29</v>
      </c>
      <c r="E36" s="1" t="s">
        <v>18</v>
      </c>
      <c r="F36" s="1">
        <v>9</v>
      </c>
      <c r="G36" s="1">
        <v>38091.5</v>
      </c>
      <c r="H36" s="1">
        <v>9464.77</v>
      </c>
      <c r="I36" s="4">
        <f t="shared" si="0"/>
        <v>0.24847459406954309</v>
      </c>
      <c r="J36" s="11" t="str">
        <f t="shared" si="1"/>
        <v>High</v>
      </c>
    </row>
    <row r="37" spans="1:10" x14ac:dyDescent="0.3">
      <c r="A37" s="1" t="s">
        <v>57</v>
      </c>
      <c r="B37" s="2">
        <v>46110</v>
      </c>
      <c r="C37" s="3" t="s">
        <v>12</v>
      </c>
      <c r="D37" s="1" t="s">
        <v>22</v>
      </c>
      <c r="E37" s="1" t="s">
        <v>10</v>
      </c>
      <c r="F37" s="1">
        <v>5</v>
      </c>
      <c r="G37" s="1">
        <v>21590.49</v>
      </c>
      <c r="H37" s="1">
        <v>3654.39</v>
      </c>
      <c r="I37" s="4">
        <f t="shared" si="0"/>
        <v>0.16925924330573319</v>
      </c>
      <c r="J37" s="11" t="str">
        <f t="shared" si="1"/>
        <v>High</v>
      </c>
    </row>
    <row r="38" spans="1:10" x14ac:dyDescent="0.3">
      <c r="A38" s="1" t="s">
        <v>58</v>
      </c>
      <c r="B38" s="2">
        <v>46055</v>
      </c>
      <c r="C38" s="3" t="s">
        <v>16</v>
      </c>
      <c r="D38" s="1" t="s">
        <v>20</v>
      </c>
      <c r="E38" s="1" t="s">
        <v>14</v>
      </c>
      <c r="F38" s="1">
        <v>3</v>
      </c>
      <c r="G38" s="1">
        <v>48413.07</v>
      </c>
      <c r="H38" s="1">
        <v>11168.85</v>
      </c>
      <c r="I38" s="4">
        <f t="shared" si="0"/>
        <v>0.23069906535569837</v>
      </c>
      <c r="J38" s="11" t="str">
        <f t="shared" si="1"/>
        <v>High</v>
      </c>
    </row>
    <row r="39" spans="1:10" x14ac:dyDescent="0.3">
      <c r="A39" s="1" t="s">
        <v>59</v>
      </c>
      <c r="B39" s="2">
        <v>46203</v>
      </c>
      <c r="C39" s="3" t="s">
        <v>8</v>
      </c>
      <c r="D39" s="1" t="s">
        <v>20</v>
      </c>
      <c r="E39" s="1" t="s">
        <v>14</v>
      </c>
      <c r="F39" s="1">
        <v>8</v>
      </c>
      <c r="G39" s="1">
        <v>42430.05</v>
      </c>
      <c r="H39" s="1">
        <v>4665.5</v>
      </c>
      <c r="I39" s="4">
        <f t="shared" si="0"/>
        <v>0.10995744761083241</v>
      </c>
      <c r="J39" s="11" t="str">
        <f t="shared" si="1"/>
        <v>High</v>
      </c>
    </row>
    <row r="40" spans="1:10" x14ac:dyDescent="0.3">
      <c r="A40" s="1" t="s">
        <v>60</v>
      </c>
      <c r="B40" s="2">
        <v>46061</v>
      </c>
      <c r="C40" s="3" t="s">
        <v>16</v>
      </c>
      <c r="D40" s="1" t="s">
        <v>9</v>
      </c>
      <c r="E40" s="1" t="s">
        <v>10</v>
      </c>
      <c r="F40" s="1">
        <v>2</v>
      </c>
      <c r="G40" s="1">
        <v>47481.71</v>
      </c>
      <c r="H40" s="1">
        <v>10797.33</v>
      </c>
      <c r="I40" s="4">
        <f t="shared" si="0"/>
        <v>0.22739977140671641</v>
      </c>
      <c r="J40" s="11" t="str">
        <f t="shared" si="1"/>
        <v>High</v>
      </c>
    </row>
    <row r="41" spans="1:10" x14ac:dyDescent="0.3">
      <c r="A41" s="1" t="s">
        <v>61</v>
      </c>
      <c r="B41" s="2">
        <v>46079</v>
      </c>
      <c r="C41" s="3" t="s">
        <v>8</v>
      </c>
      <c r="D41" s="1" t="s">
        <v>36</v>
      </c>
      <c r="E41" s="1" t="s">
        <v>18</v>
      </c>
      <c r="F41" s="1">
        <v>8</v>
      </c>
      <c r="G41" s="1">
        <v>56295.93</v>
      </c>
      <c r="H41" s="1">
        <v>12493.42</v>
      </c>
      <c r="I41" s="4">
        <f t="shared" si="0"/>
        <v>0.22192403607152417</v>
      </c>
      <c r="J41" s="11" t="str">
        <f t="shared" si="1"/>
        <v>High</v>
      </c>
    </row>
    <row r="42" spans="1:10" x14ac:dyDescent="0.3">
      <c r="A42" s="1" t="s">
        <v>62</v>
      </c>
      <c r="B42" s="2">
        <v>46152</v>
      </c>
      <c r="C42" s="3" t="s">
        <v>8</v>
      </c>
      <c r="D42" s="1" t="s">
        <v>22</v>
      </c>
      <c r="E42" s="1" t="s">
        <v>10</v>
      </c>
      <c r="F42" s="1">
        <v>5</v>
      </c>
      <c r="G42" s="1">
        <v>59994.34</v>
      </c>
      <c r="H42" s="1">
        <v>4024.98</v>
      </c>
      <c r="I42" s="4">
        <f t="shared" si="0"/>
        <v>6.7089328760013028E-2</v>
      </c>
      <c r="J42" s="11" t="str">
        <f t="shared" si="1"/>
        <v>High</v>
      </c>
    </row>
    <row r="43" spans="1:10" x14ac:dyDescent="0.3">
      <c r="A43" s="1" t="s">
        <v>63</v>
      </c>
      <c r="B43" s="2">
        <v>46176</v>
      </c>
      <c r="C43" s="3" t="s">
        <v>12</v>
      </c>
      <c r="D43" s="1" t="s">
        <v>13</v>
      </c>
      <c r="E43" s="1" t="s">
        <v>14</v>
      </c>
      <c r="F43" s="1">
        <v>1</v>
      </c>
      <c r="G43" s="1">
        <v>33650.639999999999</v>
      </c>
      <c r="H43" s="1">
        <v>7259.12</v>
      </c>
      <c r="I43" s="4">
        <f t="shared" si="0"/>
        <v>0.21572011706166658</v>
      </c>
      <c r="J43" s="11" t="str">
        <f t="shared" si="1"/>
        <v>High</v>
      </c>
    </row>
    <row r="44" spans="1:10" x14ac:dyDescent="0.3">
      <c r="A44" s="1" t="s">
        <v>64</v>
      </c>
      <c r="B44" s="2">
        <v>46033</v>
      </c>
      <c r="C44" s="3" t="s">
        <v>24</v>
      </c>
      <c r="D44" s="1" t="s">
        <v>9</v>
      </c>
      <c r="E44" s="1" t="s">
        <v>10</v>
      </c>
      <c r="F44" s="1">
        <v>9</v>
      </c>
      <c r="G44" s="1">
        <v>11846.6</v>
      </c>
      <c r="H44" s="1">
        <v>1641.87</v>
      </c>
      <c r="I44" s="4">
        <f t="shared" si="0"/>
        <v>0.13859419580301519</v>
      </c>
      <c r="J44" s="11" t="str">
        <f t="shared" si="1"/>
        <v>High</v>
      </c>
    </row>
    <row r="45" spans="1:10" x14ac:dyDescent="0.3">
      <c r="A45" s="1" t="s">
        <v>65</v>
      </c>
      <c r="B45" s="2">
        <v>46028</v>
      </c>
      <c r="C45" s="3" t="s">
        <v>24</v>
      </c>
      <c r="D45" s="1" t="s">
        <v>22</v>
      </c>
      <c r="E45" s="1" t="s">
        <v>10</v>
      </c>
      <c r="F45" s="1">
        <v>6</v>
      </c>
      <c r="G45" s="1">
        <v>22524.17</v>
      </c>
      <c r="H45" s="1">
        <v>5180.87</v>
      </c>
      <c r="I45" s="4">
        <f t="shared" si="0"/>
        <v>0.23001380295034179</v>
      </c>
      <c r="J45" s="11" t="str">
        <f t="shared" si="1"/>
        <v>High</v>
      </c>
    </row>
    <row r="46" spans="1:10" x14ac:dyDescent="0.3">
      <c r="A46" s="1" t="s">
        <v>66</v>
      </c>
      <c r="B46" s="2">
        <v>46134</v>
      </c>
      <c r="C46" s="3" t="s">
        <v>24</v>
      </c>
      <c r="D46" s="1" t="s">
        <v>17</v>
      </c>
      <c r="E46" s="1" t="s">
        <v>18</v>
      </c>
      <c r="F46" s="1">
        <v>7</v>
      </c>
      <c r="G46" s="1">
        <v>29368.51</v>
      </c>
      <c r="H46" s="1">
        <v>4244.08</v>
      </c>
      <c r="I46" s="4">
        <f t="shared" si="0"/>
        <v>0.14451124691038122</v>
      </c>
      <c r="J46" s="11" t="str">
        <f t="shared" si="1"/>
        <v>High</v>
      </c>
    </row>
    <row r="47" spans="1:10" x14ac:dyDescent="0.3">
      <c r="A47" s="1" t="s">
        <v>67</v>
      </c>
      <c r="B47" s="2">
        <v>46122</v>
      </c>
      <c r="C47" s="3" t="s">
        <v>24</v>
      </c>
      <c r="D47" s="1" t="s">
        <v>29</v>
      </c>
      <c r="E47" s="1" t="s">
        <v>18</v>
      </c>
      <c r="F47" s="1">
        <v>8</v>
      </c>
      <c r="G47" s="1">
        <v>35020.910000000003</v>
      </c>
      <c r="H47" s="1">
        <v>6177.05</v>
      </c>
      <c r="I47" s="4">
        <f t="shared" si="0"/>
        <v>0.17638176734984898</v>
      </c>
      <c r="J47" s="11" t="str">
        <f t="shared" si="1"/>
        <v>High</v>
      </c>
    </row>
    <row r="48" spans="1:10" x14ac:dyDescent="0.3">
      <c r="A48" s="1" t="s">
        <v>68</v>
      </c>
      <c r="B48" s="2">
        <v>46141</v>
      </c>
      <c r="C48" s="3" t="s">
        <v>12</v>
      </c>
      <c r="D48" s="1" t="s">
        <v>22</v>
      </c>
      <c r="E48" s="1" t="s">
        <v>10</v>
      </c>
      <c r="F48" s="1">
        <v>4</v>
      </c>
      <c r="G48" s="1">
        <v>4178.78</v>
      </c>
      <c r="H48" s="1">
        <v>806.71</v>
      </c>
      <c r="I48" s="4">
        <f t="shared" si="0"/>
        <v>0.19304916746035927</v>
      </c>
      <c r="J48" s="11" t="str">
        <f t="shared" si="1"/>
        <v>Medium</v>
      </c>
    </row>
    <row r="49" spans="1:10" x14ac:dyDescent="0.3">
      <c r="A49" s="1" t="s">
        <v>69</v>
      </c>
      <c r="B49" s="2">
        <v>46195</v>
      </c>
      <c r="C49" s="3" t="s">
        <v>16</v>
      </c>
      <c r="D49" s="1" t="s">
        <v>22</v>
      </c>
      <c r="E49" s="1" t="s">
        <v>10</v>
      </c>
      <c r="F49" s="1">
        <v>5</v>
      </c>
      <c r="G49" s="1">
        <v>20540</v>
      </c>
      <c r="H49" s="1">
        <v>4085.92</v>
      </c>
      <c r="I49" s="4">
        <f t="shared" si="0"/>
        <v>0.19892502434274587</v>
      </c>
      <c r="J49" s="11" t="str">
        <f t="shared" si="1"/>
        <v>High</v>
      </c>
    </row>
    <row r="50" spans="1:10" x14ac:dyDescent="0.3">
      <c r="A50" s="1" t="s">
        <v>70</v>
      </c>
      <c r="B50" s="2">
        <v>46109</v>
      </c>
      <c r="C50" s="3" t="s">
        <v>8</v>
      </c>
      <c r="D50" s="1" t="s">
        <v>17</v>
      </c>
      <c r="E50" s="1" t="s">
        <v>18</v>
      </c>
      <c r="F50" s="1">
        <v>3</v>
      </c>
      <c r="G50" s="1">
        <v>33907.42</v>
      </c>
      <c r="H50" s="1">
        <v>5780.7</v>
      </c>
      <c r="I50" s="4">
        <f t="shared" si="0"/>
        <v>0.1704848083398855</v>
      </c>
      <c r="J50" s="11" t="str">
        <f t="shared" si="1"/>
        <v>High</v>
      </c>
    </row>
    <row r="51" spans="1:10" x14ac:dyDescent="0.3">
      <c r="A51" s="1" t="s">
        <v>71</v>
      </c>
      <c r="B51" s="2">
        <v>46167</v>
      </c>
      <c r="C51" s="3" t="s">
        <v>12</v>
      </c>
      <c r="D51" s="1" t="s">
        <v>22</v>
      </c>
      <c r="E51" s="1" t="s">
        <v>10</v>
      </c>
      <c r="F51" s="1">
        <v>3</v>
      </c>
      <c r="G51" s="1">
        <v>25779.85</v>
      </c>
      <c r="H51" s="1">
        <v>2742.11</v>
      </c>
      <c r="I51" s="4">
        <f t="shared" si="0"/>
        <v>0.10636640632121599</v>
      </c>
      <c r="J51" s="11" t="str">
        <f t="shared" si="1"/>
        <v>High</v>
      </c>
    </row>
    <row r="52" spans="1:10" x14ac:dyDescent="0.3">
      <c r="A52" s="1" t="s">
        <v>72</v>
      </c>
      <c r="B52" s="2">
        <v>46165</v>
      </c>
      <c r="C52" s="3" t="s">
        <v>24</v>
      </c>
      <c r="D52" s="1" t="s">
        <v>22</v>
      </c>
      <c r="E52" s="1" t="s">
        <v>10</v>
      </c>
      <c r="F52" s="1">
        <v>7</v>
      </c>
      <c r="G52" s="1">
        <v>15484.4</v>
      </c>
      <c r="H52" s="1">
        <v>1769.43</v>
      </c>
      <c r="I52" s="4">
        <f t="shared" si="0"/>
        <v>0.11427178321407352</v>
      </c>
      <c r="J52" s="11" t="str">
        <f t="shared" si="1"/>
        <v>High</v>
      </c>
    </row>
    <row r="53" spans="1:10" x14ac:dyDescent="0.3">
      <c r="A53" s="1" t="s">
        <v>73</v>
      </c>
      <c r="B53" s="2">
        <v>46182</v>
      </c>
      <c r="C53" s="3" t="s">
        <v>24</v>
      </c>
      <c r="D53" s="1" t="s">
        <v>13</v>
      </c>
      <c r="E53" s="1" t="s">
        <v>14</v>
      </c>
      <c r="F53" s="1">
        <v>7</v>
      </c>
      <c r="G53" s="1">
        <v>26724.05</v>
      </c>
      <c r="H53" s="1">
        <v>1991.54</v>
      </c>
      <c r="I53" s="4">
        <f t="shared" si="0"/>
        <v>7.4522387138177035E-2</v>
      </c>
      <c r="J53" s="11" t="str">
        <f t="shared" si="1"/>
        <v>High</v>
      </c>
    </row>
    <row r="54" spans="1:10" x14ac:dyDescent="0.3">
      <c r="A54" s="1" t="s">
        <v>74</v>
      </c>
      <c r="B54" s="2">
        <v>46070</v>
      </c>
      <c r="C54" s="3" t="s">
        <v>12</v>
      </c>
      <c r="D54" s="1" t="s">
        <v>29</v>
      </c>
      <c r="E54" s="1" t="s">
        <v>18</v>
      </c>
      <c r="F54" s="1">
        <v>6</v>
      </c>
      <c r="G54" s="1">
        <v>16479.78</v>
      </c>
      <c r="H54" s="1">
        <v>2791.02</v>
      </c>
      <c r="I54" s="4">
        <f t="shared" si="0"/>
        <v>0.16936027058613648</v>
      </c>
      <c r="J54" s="11" t="str">
        <f t="shared" si="1"/>
        <v>High</v>
      </c>
    </row>
    <row r="55" spans="1:10" x14ac:dyDescent="0.3">
      <c r="A55" s="1" t="s">
        <v>75</v>
      </c>
      <c r="B55" s="2">
        <v>46049</v>
      </c>
      <c r="C55" s="3" t="s">
        <v>12</v>
      </c>
      <c r="D55" s="1" t="s">
        <v>9</v>
      </c>
      <c r="E55" s="1" t="s">
        <v>10</v>
      </c>
      <c r="F55" s="1">
        <v>1</v>
      </c>
      <c r="G55" s="1">
        <v>14683.64</v>
      </c>
      <c r="H55" s="1">
        <v>2880.8</v>
      </c>
      <c r="I55" s="4">
        <f t="shared" si="0"/>
        <v>0.19619113516811909</v>
      </c>
      <c r="J55" s="11" t="str">
        <f t="shared" si="1"/>
        <v>High</v>
      </c>
    </row>
    <row r="56" spans="1:10" x14ac:dyDescent="0.3">
      <c r="A56" s="1" t="s">
        <v>76</v>
      </c>
      <c r="B56" s="2">
        <v>46028</v>
      </c>
      <c r="C56" s="3" t="s">
        <v>16</v>
      </c>
      <c r="D56" s="1" t="s">
        <v>20</v>
      </c>
      <c r="E56" s="1" t="s">
        <v>14</v>
      </c>
      <c r="F56" s="1">
        <v>9</v>
      </c>
      <c r="G56" s="1">
        <v>29816.18</v>
      </c>
      <c r="H56" s="1">
        <v>2766.7</v>
      </c>
      <c r="I56" s="4">
        <f t="shared" si="0"/>
        <v>9.2791900236717101E-2</v>
      </c>
      <c r="J56" s="11" t="str">
        <f t="shared" si="1"/>
        <v>High</v>
      </c>
    </row>
    <row r="57" spans="1:10" x14ac:dyDescent="0.3">
      <c r="A57" s="1" t="s">
        <v>77</v>
      </c>
      <c r="B57" s="2">
        <v>46147</v>
      </c>
      <c r="C57" s="3" t="s">
        <v>12</v>
      </c>
      <c r="D57" s="1" t="s">
        <v>9</v>
      </c>
      <c r="E57" s="1" t="s">
        <v>10</v>
      </c>
      <c r="F57" s="1">
        <v>4</v>
      </c>
      <c r="G57" s="1">
        <v>14904.41</v>
      </c>
      <c r="H57" s="1">
        <v>1239.28</v>
      </c>
      <c r="I57" s="4">
        <f t="shared" si="0"/>
        <v>8.3148544625382681E-2</v>
      </c>
      <c r="J57" s="11" t="str">
        <f t="shared" si="1"/>
        <v>High</v>
      </c>
    </row>
    <row r="58" spans="1:10" x14ac:dyDescent="0.3">
      <c r="A58" s="1" t="s">
        <v>78</v>
      </c>
      <c r="B58" s="2">
        <v>46147</v>
      </c>
      <c r="C58" s="3" t="s">
        <v>12</v>
      </c>
      <c r="D58" s="1" t="s">
        <v>32</v>
      </c>
      <c r="E58" s="1" t="s">
        <v>14</v>
      </c>
      <c r="F58" s="1">
        <v>3</v>
      </c>
      <c r="G58" s="1">
        <v>4682.07</v>
      </c>
      <c r="H58" s="1">
        <v>736.69</v>
      </c>
      <c r="I58" s="4">
        <f t="shared" si="0"/>
        <v>0.15734279923196365</v>
      </c>
      <c r="J58" s="11" t="str">
        <f t="shared" si="1"/>
        <v>Medium</v>
      </c>
    </row>
    <row r="59" spans="1:10" x14ac:dyDescent="0.3">
      <c r="A59" s="1" t="s">
        <v>79</v>
      </c>
      <c r="B59" s="2">
        <v>46043</v>
      </c>
      <c r="C59" s="3" t="s">
        <v>24</v>
      </c>
      <c r="D59" s="1" t="s">
        <v>20</v>
      </c>
      <c r="E59" s="1" t="s">
        <v>14</v>
      </c>
      <c r="F59" s="1">
        <v>7</v>
      </c>
      <c r="G59" s="1">
        <v>52405.57</v>
      </c>
      <c r="H59" s="1">
        <v>5780.19</v>
      </c>
      <c r="I59" s="4">
        <f t="shared" si="0"/>
        <v>0.11029724512108159</v>
      </c>
      <c r="J59" s="11" t="str">
        <f t="shared" si="1"/>
        <v>High</v>
      </c>
    </row>
    <row r="60" spans="1:10" x14ac:dyDescent="0.3">
      <c r="A60" s="1" t="s">
        <v>80</v>
      </c>
      <c r="B60" s="2">
        <v>46071</v>
      </c>
      <c r="C60" s="3" t="s">
        <v>12</v>
      </c>
      <c r="D60" s="1" t="s">
        <v>36</v>
      </c>
      <c r="E60" s="1" t="s">
        <v>18</v>
      </c>
      <c r="F60" s="1">
        <v>1</v>
      </c>
      <c r="G60" s="1">
        <v>9283.8799999999992</v>
      </c>
      <c r="H60" s="1">
        <v>472.72</v>
      </c>
      <c r="I60" s="4">
        <f t="shared" si="0"/>
        <v>5.0918366027996924E-2</v>
      </c>
      <c r="J60" s="11" t="str">
        <f t="shared" si="1"/>
        <v>High</v>
      </c>
    </row>
    <row r="61" spans="1:10" x14ac:dyDescent="0.3">
      <c r="A61" s="1" t="s">
        <v>81</v>
      </c>
      <c r="B61" s="2">
        <v>46130</v>
      </c>
      <c r="C61" s="3" t="s">
        <v>16</v>
      </c>
      <c r="D61" s="1" t="s">
        <v>20</v>
      </c>
      <c r="E61" s="1" t="s">
        <v>14</v>
      </c>
      <c r="F61" s="1">
        <v>4</v>
      </c>
      <c r="G61" s="1">
        <v>58017.19</v>
      </c>
      <c r="H61" s="1">
        <v>7994.2</v>
      </c>
      <c r="I61" s="4">
        <f t="shared" si="0"/>
        <v>0.13779019631940118</v>
      </c>
      <c r="J61" s="11" t="str">
        <f t="shared" si="1"/>
        <v>High</v>
      </c>
    </row>
    <row r="62" spans="1:10" x14ac:dyDescent="0.3">
      <c r="A62" s="1" t="s">
        <v>82</v>
      </c>
      <c r="B62" s="2">
        <v>46097</v>
      </c>
      <c r="C62" s="3" t="s">
        <v>24</v>
      </c>
      <c r="D62" s="1" t="s">
        <v>20</v>
      </c>
      <c r="E62" s="1" t="s">
        <v>14</v>
      </c>
      <c r="F62" s="1">
        <v>9</v>
      </c>
      <c r="G62" s="1">
        <v>48040.54</v>
      </c>
      <c r="H62" s="1">
        <v>3875.39</v>
      </c>
      <c r="I62" s="4">
        <f t="shared" si="0"/>
        <v>8.0669159838752849E-2</v>
      </c>
      <c r="J62" s="11" t="str">
        <f t="shared" si="1"/>
        <v>High</v>
      </c>
    </row>
    <row r="63" spans="1:10" x14ac:dyDescent="0.3">
      <c r="A63" s="1" t="s">
        <v>83</v>
      </c>
      <c r="B63" s="2">
        <v>46184</v>
      </c>
      <c r="C63" s="3" t="s">
        <v>16</v>
      </c>
      <c r="D63" s="1" t="s">
        <v>29</v>
      </c>
      <c r="E63" s="1" t="s">
        <v>18</v>
      </c>
      <c r="F63" s="1">
        <v>7</v>
      </c>
      <c r="G63" s="1">
        <v>1770.46</v>
      </c>
      <c r="H63" s="1">
        <v>106.94</v>
      </c>
      <c r="I63" s="4">
        <f t="shared" si="0"/>
        <v>6.04023813020345E-2</v>
      </c>
      <c r="J63" s="11" t="str">
        <f t="shared" si="1"/>
        <v>Medium</v>
      </c>
    </row>
    <row r="64" spans="1:10" x14ac:dyDescent="0.3">
      <c r="A64" s="1" t="s">
        <v>84</v>
      </c>
      <c r="B64" s="2">
        <v>46192</v>
      </c>
      <c r="C64" s="3" t="s">
        <v>8</v>
      </c>
      <c r="D64" s="1" t="s">
        <v>29</v>
      </c>
      <c r="E64" s="1" t="s">
        <v>18</v>
      </c>
      <c r="F64" s="1">
        <v>6</v>
      </c>
      <c r="G64" s="1">
        <v>1530.21</v>
      </c>
      <c r="H64" s="1">
        <v>94.85</v>
      </c>
      <c r="I64" s="4">
        <f t="shared" si="0"/>
        <v>6.198495631318577E-2</v>
      </c>
      <c r="J64" s="11" t="str">
        <f t="shared" si="1"/>
        <v>Medium</v>
      </c>
    </row>
    <row r="65" spans="1:10" x14ac:dyDescent="0.3">
      <c r="A65" s="1" t="s">
        <v>85</v>
      </c>
      <c r="B65" s="2">
        <v>46111</v>
      </c>
      <c r="C65" s="3" t="s">
        <v>12</v>
      </c>
      <c r="D65" s="1" t="s">
        <v>17</v>
      </c>
      <c r="E65" s="1" t="s">
        <v>18</v>
      </c>
      <c r="F65" s="1">
        <v>10</v>
      </c>
      <c r="G65" s="1">
        <v>28055.62</v>
      </c>
      <c r="H65" s="1">
        <v>3745.96</v>
      </c>
      <c r="I65" s="4">
        <f t="shared" si="0"/>
        <v>0.13351905963938776</v>
      </c>
      <c r="J65" s="11" t="str">
        <f t="shared" si="1"/>
        <v>High</v>
      </c>
    </row>
    <row r="66" spans="1:10" x14ac:dyDescent="0.3">
      <c r="A66" s="1" t="s">
        <v>86</v>
      </c>
      <c r="B66" s="2">
        <v>46063</v>
      </c>
      <c r="C66" s="3" t="s">
        <v>12</v>
      </c>
      <c r="D66" s="1" t="s">
        <v>29</v>
      </c>
      <c r="E66" s="1" t="s">
        <v>18</v>
      </c>
      <c r="F66" s="1">
        <v>4</v>
      </c>
      <c r="G66" s="1">
        <v>52549.34</v>
      </c>
      <c r="H66" s="1">
        <v>9505.09</v>
      </c>
      <c r="I66" s="4">
        <f t="shared" si="0"/>
        <v>0.18087934120580773</v>
      </c>
      <c r="J66" s="11" t="str">
        <f t="shared" si="1"/>
        <v>High</v>
      </c>
    </row>
    <row r="67" spans="1:10" x14ac:dyDescent="0.3">
      <c r="A67" s="1" t="s">
        <v>87</v>
      </c>
      <c r="B67" s="2">
        <v>46099</v>
      </c>
      <c r="C67" s="3" t="s">
        <v>8</v>
      </c>
      <c r="D67" s="1" t="s">
        <v>22</v>
      </c>
      <c r="E67" s="1" t="s">
        <v>10</v>
      </c>
      <c r="F67" s="1">
        <v>5</v>
      </c>
      <c r="G67" s="1">
        <v>10729.47</v>
      </c>
      <c r="H67" s="1">
        <v>567.14</v>
      </c>
      <c r="I67" s="4">
        <f t="shared" ref="I67:I130" si="2">H67/G67</f>
        <v>5.2858156087858953E-2</v>
      </c>
      <c r="J67" s="11" t="str">
        <f t="shared" ref="J67:J130" si="3">IF(G67&gt;5000,"High","Medium")</f>
        <v>High</v>
      </c>
    </row>
    <row r="68" spans="1:10" x14ac:dyDescent="0.3">
      <c r="A68" s="1" t="s">
        <v>88</v>
      </c>
      <c r="B68" s="2">
        <v>46030</v>
      </c>
      <c r="C68" s="3" t="s">
        <v>12</v>
      </c>
      <c r="D68" s="1" t="s">
        <v>13</v>
      </c>
      <c r="E68" s="1" t="s">
        <v>14</v>
      </c>
      <c r="F68" s="1">
        <v>2</v>
      </c>
      <c r="G68" s="1">
        <v>39253.67</v>
      </c>
      <c r="H68" s="1">
        <v>5192.16</v>
      </c>
      <c r="I68" s="4">
        <f t="shared" si="2"/>
        <v>0.13227196336036859</v>
      </c>
      <c r="J68" s="11" t="str">
        <f t="shared" si="3"/>
        <v>High</v>
      </c>
    </row>
    <row r="69" spans="1:10" x14ac:dyDescent="0.3">
      <c r="A69" s="1" t="s">
        <v>89</v>
      </c>
      <c r="B69" s="2">
        <v>46118</v>
      </c>
      <c r="C69" s="3" t="s">
        <v>16</v>
      </c>
      <c r="D69" s="1" t="s">
        <v>9</v>
      </c>
      <c r="E69" s="1" t="s">
        <v>10</v>
      </c>
      <c r="F69" s="1">
        <v>5</v>
      </c>
      <c r="G69" s="1">
        <v>24488.13</v>
      </c>
      <c r="H69" s="1">
        <v>1298.1500000000001</v>
      </c>
      <c r="I69" s="4">
        <f t="shared" si="2"/>
        <v>5.3011397766999771E-2</v>
      </c>
      <c r="J69" s="11" t="str">
        <f t="shared" si="3"/>
        <v>High</v>
      </c>
    </row>
    <row r="70" spans="1:10" x14ac:dyDescent="0.3">
      <c r="A70" s="1" t="s">
        <v>90</v>
      </c>
      <c r="B70" s="2">
        <v>46182</v>
      </c>
      <c r="C70" s="3" t="s">
        <v>8</v>
      </c>
      <c r="D70" s="1" t="s">
        <v>17</v>
      </c>
      <c r="E70" s="1" t="s">
        <v>18</v>
      </c>
      <c r="F70" s="1">
        <v>5</v>
      </c>
      <c r="G70" s="1">
        <v>22378.29</v>
      </c>
      <c r="H70" s="1">
        <v>1492.99</v>
      </c>
      <c r="I70" s="4">
        <f t="shared" si="2"/>
        <v>6.671600019483169E-2</v>
      </c>
      <c r="J70" s="11" t="str">
        <f t="shared" si="3"/>
        <v>High</v>
      </c>
    </row>
    <row r="71" spans="1:10" x14ac:dyDescent="0.3">
      <c r="A71" s="1" t="s">
        <v>91</v>
      </c>
      <c r="B71" s="2">
        <v>46090</v>
      </c>
      <c r="C71" s="3" t="s">
        <v>16</v>
      </c>
      <c r="D71" s="1" t="s">
        <v>13</v>
      </c>
      <c r="E71" s="1" t="s">
        <v>14</v>
      </c>
      <c r="F71" s="1">
        <v>7</v>
      </c>
      <c r="G71" s="1">
        <v>1369.59</v>
      </c>
      <c r="H71" s="1">
        <v>72.819999999999993</v>
      </c>
      <c r="I71" s="4">
        <f t="shared" si="2"/>
        <v>5.3169196620886539E-2</v>
      </c>
      <c r="J71" s="11" t="str">
        <f t="shared" si="3"/>
        <v>Medium</v>
      </c>
    </row>
    <row r="72" spans="1:10" x14ac:dyDescent="0.3">
      <c r="A72" s="1" t="s">
        <v>92</v>
      </c>
      <c r="B72" s="2">
        <v>46194</v>
      </c>
      <c r="C72" s="3" t="s">
        <v>24</v>
      </c>
      <c r="D72" s="1" t="s">
        <v>32</v>
      </c>
      <c r="E72" s="1" t="s">
        <v>14</v>
      </c>
      <c r="F72" s="1">
        <v>7</v>
      </c>
      <c r="G72" s="1">
        <v>10359.24</v>
      </c>
      <c r="H72" s="1">
        <v>2031.05</v>
      </c>
      <c r="I72" s="4">
        <f t="shared" si="2"/>
        <v>0.19606168020047804</v>
      </c>
      <c r="J72" s="11" t="str">
        <f t="shared" si="3"/>
        <v>High</v>
      </c>
    </row>
    <row r="73" spans="1:10" x14ac:dyDescent="0.3">
      <c r="A73" s="1" t="s">
        <v>93</v>
      </c>
      <c r="B73" s="2">
        <v>46056</v>
      </c>
      <c r="C73" s="3" t="s">
        <v>16</v>
      </c>
      <c r="D73" s="1" t="s">
        <v>20</v>
      </c>
      <c r="E73" s="1" t="s">
        <v>14</v>
      </c>
      <c r="F73" s="1">
        <v>7</v>
      </c>
      <c r="G73" s="1">
        <v>20648.87</v>
      </c>
      <c r="H73" s="1">
        <v>5061.41</v>
      </c>
      <c r="I73" s="4">
        <f t="shared" si="2"/>
        <v>0.24511801372181627</v>
      </c>
      <c r="J73" s="11" t="str">
        <f t="shared" si="3"/>
        <v>High</v>
      </c>
    </row>
    <row r="74" spans="1:10" x14ac:dyDescent="0.3">
      <c r="A74" s="1" t="s">
        <v>94</v>
      </c>
      <c r="B74" s="2">
        <v>46176</v>
      </c>
      <c r="C74" s="3" t="s">
        <v>16</v>
      </c>
      <c r="D74" s="1" t="s">
        <v>32</v>
      </c>
      <c r="E74" s="1" t="s">
        <v>14</v>
      </c>
      <c r="F74" s="1">
        <v>1</v>
      </c>
      <c r="G74" s="1">
        <v>26182.43</v>
      </c>
      <c r="H74" s="1">
        <v>4640.83</v>
      </c>
      <c r="I74" s="4">
        <f t="shared" si="2"/>
        <v>0.1772497816283668</v>
      </c>
      <c r="J74" s="11" t="str">
        <f t="shared" si="3"/>
        <v>High</v>
      </c>
    </row>
    <row r="75" spans="1:10" x14ac:dyDescent="0.3">
      <c r="A75" s="1" t="s">
        <v>95</v>
      </c>
      <c r="B75" s="2">
        <v>46087</v>
      </c>
      <c r="C75" s="3" t="s">
        <v>12</v>
      </c>
      <c r="D75" s="1" t="s">
        <v>20</v>
      </c>
      <c r="E75" s="1" t="s">
        <v>14</v>
      </c>
      <c r="F75" s="1">
        <v>8</v>
      </c>
      <c r="G75" s="1">
        <v>3548.82</v>
      </c>
      <c r="H75" s="1">
        <v>814.34</v>
      </c>
      <c r="I75" s="4">
        <f t="shared" si="2"/>
        <v>0.22946782310739908</v>
      </c>
      <c r="J75" s="11" t="str">
        <f t="shared" si="3"/>
        <v>Medium</v>
      </c>
    </row>
    <row r="76" spans="1:10" x14ac:dyDescent="0.3">
      <c r="A76" s="1" t="s">
        <v>96</v>
      </c>
      <c r="B76" s="2">
        <v>46056</v>
      </c>
      <c r="C76" s="3" t="s">
        <v>8</v>
      </c>
      <c r="D76" s="1" t="s">
        <v>13</v>
      </c>
      <c r="E76" s="1" t="s">
        <v>14</v>
      </c>
      <c r="F76" s="1">
        <v>9</v>
      </c>
      <c r="G76" s="1">
        <v>7449.35</v>
      </c>
      <c r="H76" s="1">
        <v>1437.53</v>
      </c>
      <c r="I76" s="4">
        <f t="shared" si="2"/>
        <v>0.19297388362743056</v>
      </c>
      <c r="J76" s="11" t="str">
        <f t="shared" si="3"/>
        <v>High</v>
      </c>
    </row>
    <row r="77" spans="1:10" x14ac:dyDescent="0.3">
      <c r="A77" s="1" t="s">
        <v>97</v>
      </c>
      <c r="B77" s="2">
        <v>46071</v>
      </c>
      <c r="C77" s="3" t="s">
        <v>8</v>
      </c>
      <c r="D77" s="1" t="s">
        <v>9</v>
      </c>
      <c r="E77" s="1" t="s">
        <v>10</v>
      </c>
      <c r="F77" s="1">
        <v>4</v>
      </c>
      <c r="G77" s="1">
        <v>21709.85</v>
      </c>
      <c r="H77" s="1">
        <v>4632.05</v>
      </c>
      <c r="I77" s="4">
        <f t="shared" si="2"/>
        <v>0.21336167684253923</v>
      </c>
      <c r="J77" s="11" t="str">
        <f t="shared" si="3"/>
        <v>High</v>
      </c>
    </row>
    <row r="78" spans="1:10" x14ac:dyDescent="0.3">
      <c r="A78" s="1" t="s">
        <v>98</v>
      </c>
      <c r="B78" s="2">
        <v>46174</v>
      </c>
      <c r="C78" s="3" t="s">
        <v>8</v>
      </c>
      <c r="D78" s="1" t="s">
        <v>9</v>
      </c>
      <c r="E78" s="1" t="s">
        <v>10</v>
      </c>
      <c r="F78" s="1">
        <v>9</v>
      </c>
      <c r="G78" s="1">
        <v>40177.699999999997</v>
      </c>
      <c r="H78" s="1">
        <v>3988.05</v>
      </c>
      <c r="I78" s="4">
        <f t="shared" si="2"/>
        <v>9.9260286178651347E-2</v>
      </c>
      <c r="J78" s="11" t="str">
        <f t="shared" si="3"/>
        <v>High</v>
      </c>
    </row>
    <row r="79" spans="1:10" x14ac:dyDescent="0.3">
      <c r="A79" s="1" t="s">
        <v>99</v>
      </c>
      <c r="B79" s="2">
        <v>46058</v>
      </c>
      <c r="C79" s="3" t="s">
        <v>12</v>
      </c>
      <c r="D79" s="1" t="s">
        <v>32</v>
      </c>
      <c r="E79" s="1" t="s">
        <v>14</v>
      </c>
      <c r="F79" s="1">
        <v>7</v>
      </c>
      <c r="G79" s="1">
        <v>32417.45</v>
      </c>
      <c r="H79" s="1">
        <v>6562.16</v>
      </c>
      <c r="I79" s="4">
        <f t="shared" si="2"/>
        <v>0.20242677940430231</v>
      </c>
      <c r="J79" s="11" t="str">
        <f t="shared" si="3"/>
        <v>High</v>
      </c>
    </row>
    <row r="80" spans="1:10" x14ac:dyDescent="0.3">
      <c r="A80" s="1" t="s">
        <v>100</v>
      </c>
      <c r="B80" s="2">
        <v>46125</v>
      </c>
      <c r="C80" s="3" t="s">
        <v>24</v>
      </c>
      <c r="D80" s="1" t="s">
        <v>22</v>
      </c>
      <c r="E80" s="1" t="s">
        <v>10</v>
      </c>
      <c r="F80" s="1">
        <v>1</v>
      </c>
      <c r="G80" s="1">
        <v>24504.94</v>
      </c>
      <c r="H80" s="1">
        <v>1715.55</v>
      </c>
      <c r="I80" s="4">
        <f t="shared" si="2"/>
        <v>7.0008333013669904E-2</v>
      </c>
      <c r="J80" s="11" t="str">
        <f t="shared" si="3"/>
        <v>High</v>
      </c>
    </row>
    <row r="81" spans="1:10" x14ac:dyDescent="0.3">
      <c r="A81" s="1" t="s">
        <v>101</v>
      </c>
      <c r="B81" s="2">
        <v>46172</v>
      </c>
      <c r="C81" s="3" t="s">
        <v>8</v>
      </c>
      <c r="D81" s="1" t="s">
        <v>20</v>
      </c>
      <c r="E81" s="1" t="s">
        <v>14</v>
      </c>
      <c r="F81" s="1">
        <v>3</v>
      </c>
      <c r="G81" s="1">
        <v>56843.98</v>
      </c>
      <c r="H81" s="1">
        <v>6941.32</v>
      </c>
      <c r="I81" s="4">
        <f t="shared" si="2"/>
        <v>0.12211178738716043</v>
      </c>
      <c r="J81" s="11" t="str">
        <f t="shared" si="3"/>
        <v>High</v>
      </c>
    </row>
    <row r="82" spans="1:10" x14ac:dyDescent="0.3">
      <c r="A82" s="1" t="s">
        <v>102</v>
      </c>
      <c r="B82" s="2">
        <v>46040</v>
      </c>
      <c r="C82" s="3" t="s">
        <v>8</v>
      </c>
      <c r="D82" s="1" t="s">
        <v>22</v>
      </c>
      <c r="E82" s="1" t="s">
        <v>10</v>
      </c>
      <c r="F82" s="1">
        <v>4</v>
      </c>
      <c r="G82" s="1">
        <v>40213.980000000003</v>
      </c>
      <c r="H82" s="1">
        <v>2331.41</v>
      </c>
      <c r="I82" s="4">
        <f t="shared" si="2"/>
        <v>5.7975112137619793E-2</v>
      </c>
      <c r="J82" s="11" t="str">
        <f t="shared" si="3"/>
        <v>High</v>
      </c>
    </row>
    <row r="83" spans="1:10" x14ac:dyDescent="0.3">
      <c r="A83" s="1" t="s">
        <v>103</v>
      </c>
      <c r="B83" s="2">
        <v>46071</v>
      </c>
      <c r="C83" s="3" t="s">
        <v>16</v>
      </c>
      <c r="D83" s="1" t="s">
        <v>20</v>
      </c>
      <c r="E83" s="1" t="s">
        <v>14</v>
      </c>
      <c r="F83" s="1">
        <v>5</v>
      </c>
      <c r="G83" s="1">
        <v>19484.64</v>
      </c>
      <c r="H83" s="1">
        <v>4834.95</v>
      </c>
      <c r="I83" s="4">
        <f t="shared" si="2"/>
        <v>0.24814161308600005</v>
      </c>
      <c r="J83" s="11" t="str">
        <f t="shared" si="3"/>
        <v>High</v>
      </c>
    </row>
    <row r="84" spans="1:10" x14ac:dyDescent="0.3">
      <c r="A84" s="1" t="s">
        <v>104</v>
      </c>
      <c r="B84" s="2">
        <v>46159</v>
      </c>
      <c r="C84" s="3" t="s">
        <v>8</v>
      </c>
      <c r="D84" s="1" t="s">
        <v>17</v>
      </c>
      <c r="E84" s="1" t="s">
        <v>18</v>
      </c>
      <c r="F84" s="1">
        <v>9</v>
      </c>
      <c r="G84" s="1">
        <v>26079.66</v>
      </c>
      <c r="H84" s="1">
        <v>2727.82</v>
      </c>
      <c r="I84" s="4">
        <f t="shared" si="2"/>
        <v>0.104595688747476</v>
      </c>
      <c r="J84" s="11" t="str">
        <f t="shared" si="3"/>
        <v>High</v>
      </c>
    </row>
    <row r="85" spans="1:10" x14ac:dyDescent="0.3">
      <c r="A85" s="1" t="s">
        <v>105</v>
      </c>
      <c r="B85" s="2">
        <v>46075</v>
      </c>
      <c r="C85" s="3" t="s">
        <v>24</v>
      </c>
      <c r="D85" s="1" t="s">
        <v>13</v>
      </c>
      <c r="E85" s="1" t="s">
        <v>14</v>
      </c>
      <c r="F85" s="1">
        <v>4</v>
      </c>
      <c r="G85" s="1">
        <v>34292.46</v>
      </c>
      <c r="H85" s="1">
        <v>7944.55</v>
      </c>
      <c r="I85" s="4">
        <f t="shared" si="2"/>
        <v>0.2316704605035626</v>
      </c>
      <c r="J85" s="11" t="str">
        <f t="shared" si="3"/>
        <v>High</v>
      </c>
    </row>
    <row r="86" spans="1:10" x14ac:dyDescent="0.3">
      <c r="A86" s="1" t="s">
        <v>106</v>
      </c>
      <c r="B86" s="2">
        <v>46151</v>
      </c>
      <c r="C86" s="3" t="s">
        <v>16</v>
      </c>
      <c r="D86" s="1" t="s">
        <v>36</v>
      </c>
      <c r="E86" s="1" t="s">
        <v>18</v>
      </c>
      <c r="F86" s="1">
        <v>6</v>
      </c>
      <c r="G86" s="1">
        <v>14025.34</v>
      </c>
      <c r="H86" s="1">
        <v>2733.58</v>
      </c>
      <c r="I86" s="4">
        <f t="shared" si="2"/>
        <v>0.19490293996437874</v>
      </c>
      <c r="J86" s="11" t="str">
        <f t="shared" si="3"/>
        <v>High</v>
      </c>
    </row>
    <row r="87" spans="1:10" x14ac:dyDescent="0.3">
      <c r="A87" s="1" t="s">
        <v>107</v>
      </c>
      <c r="B87" s="2">
        <v>46149</v>
      </c>
      <c r="C87" s="3" t="s">
        <v>24</v>
      </c>
      <c r="D87" s="1" t="s">
        <v>17</v>
      </c>
      <c r="E87" s="1" t="s">
        <v>18</v>
      </c>
      <c r="F87" s="1">
        <v>3</v>
      </c>
      <c r="G87" s="1">
        <v>46528.3</v>
      </c>
      <c r="H87" s="1">
        <v>3983.92</v>
      </c>
      <c r="I87" s="4">
        <f t="shared" si="2"/>
        <v>8.5623588224800817E-2</v>
      </c>
      <c r="J87" s="11" t="str">
        <f t="shared" si="3"/>
        <v>High</v>
      </c>
    </row>
    <row r="88" spans="1:10" x14ac:dyDescent="0.3">
      <c r="A88" s="1" t="s">
        <v>108</v>
      </c>
      <c r="B88" s="2">
        <v>46079</v>
      </c>
      <c r="C88" s="3" t="s">
        <v>24</v>
      </c>
      <c r="D88" s="1" t="s">
        <v>36</v>
      </c>
      <c r="E88" s="1" t="s">
        <v>18</v>
      </c>
      <c r="F88" s="1">
        <v>4</v>
      </c>
      <c r="G88" s="1">
        <v>54305.06</v>
      </c>
      <c r="H88" s="1">
        <v>10099.83</v>
      </c>
      <c r="I88" s="4">
        <f t="shared" si="2"/>
        <v>0.18598322145302851</v>
      </c>
      <c r="J88" s="11" t="str">
        <f t="shared" si="3"/>
        <v>High</v>
      </c>
    </row>
    <row r="89" spans="1:10" x14ac:dyDescent="0.3">
      <c r="A89" s="1" t="s">
        <v>109</v>
      </c>
      <c r="B89" s="2">
        <v>46083</v>
      </c>
      <c r="C89" s="3" t="s">
        <v>24</v>
      </c>
      <c r="D89" s="1" t="s">
        <v>29</v>
      </c>
      <c r="E89" s="1" t="s">
        <v>18</v>
      </c>
      <c r="F89" s="1">
        <v>1</v>
      </c>
      <c r="G89" s="1">
        <v>39846.28</v>
      </c>
      <c r="H89" s="1">
        <v>7698.3</v>
      </c>
      <c r="I89" s="4">
        <f t="shared" si="2"/>
        <v>0.19319996747500645</v>
      </c>
      <c r="J89" s="11" t="str">
        <f t="shared" si="3"/>
        <v>High</v>
      </c>
    </row>
    <row r="90" spans="1:10" x14ac:dyDescent="0.3">
      <c r="A90" s="1" t="s">
        <v>110</v>
      </c>
      <c r="B90" s="2">
        <v>46137</v>
      </c>
      <c r="C90" s="3" t="s">
        <v>24</v>
      </c>
      <c r="D90" s="1" t="s">
        <v>20</v>
      </c>
      <c r="E90" s="1" t="s">
        <v>14</v>
      </c>
      <c r="F90" s="1">
        <v>5</v>
      </c>
      <c r="G90" s="1">
        <v>35676.39</v>
      </c>
      <c r="H90" s="1">
        <v>6333.66</v>
      </c>
      <c r="I90" s="4">
        <f t="shared" si="2"/>
        <v>0.17753085443902816</v>
      </c>
      <c r="J90" s="11" t="str">
        <f t="shared" si="3"/>
        <v>High</v>
      </c>
    </row>
    <row r="91" spans="1:10" x14ac:dyDescent="0.3">
      <c r="A91" s="1" t="s">
        <v>111</v>
      </c>
      <c r="B91" s="2">
        <v>46085</v>
      </c>
      <c r="C91" s="3" t="s">
        <v>8</v>
      </c>
      <c r="D91" s="1" t="s">
        <v>9</v>
      </c>
      <c r="E91" s="1" t="s">
        <v>10</v>
      </c>
      <c r="F91" s="1">
        <v>4</v>
      </c>
      <c r="G91" s="1">
        <v>16999.11</v>
      </c>
      <c r="H91" s="1">
        <v>1350.57</v>
      </c>
      <c r="I91" s="4">
        <f t="shared" si="2"/>
        <v>7.9449453530214223E-2</v>
      </c>
      <c r="J91" s="11" t="str">
        <f t="shared" si="3"/>
        <v>High</v>
      </c>
    </row>
    <row r="92" spans="1:10" x14ac:dyDescent="0.3">
      <c r="A92" s="1" t="s">
        <v>112</v>
      </c>
      <c r="B92" s="2">
        <v>46093</v>
      </c>
      <c r="C92" s="3" t="s">
        <v>24</v>
      </c>
      <c r="D92" s="1" t="s">
        <v>20</v>
      </c>
      <c r="E92" s="1" t="s">
        <v>14</v>
      </c>
      <c r="F92" s="1">
        <v>1</v>
      </c>
      <c r="G92" s="1">
        <v>58922.11</v>
      </c>
      <c r="H92" s="1">
        <v>3296.27</v>
      </c>
      <c r="I92" s="4">
        <f t="shared" si="2"/>
        <v>5.594283707762672E-2</v>
      </c>
      <c r="J92" s="11" t="str">
        <f t="shared" si="3"/>
        <v>High</v>
      </c>
    </row>
    <row r="93" spans="1:10" x14ac:dyDescent="0.3">
      <c r="A93" s="1" t="s">
        <v>113</v>
      </c>
      <c r="B93" s="2">
        <v>46105</v>
      </c>
      <c r="C93" s="3" t="s">
        <v>8</v>
      </c>
      <c r="D93" s="1" t="s">
        <v>36</v>
      </c>
      <c r="E93" s="1" t="s">
        <v>18</v>
      </c>
      <c r="F93" s="1">
        <v>9</v>
      </c>
      <c r="G93" s="1">
        <v>4670.68</v>
      </c>
      <c r="H93" s="1">
        <v>982.98</v>
      </c>
      <c r="I93" s="4">
        <f t="shared" si="2"/>
        <v>0.21045757791156747</v>
      </c>
      <c r="J93" s="11" t="str">
        <f t="shared" si="3"/>
        <v>Medium</v>
      </c>
    </row>
    <row r="94" spans="1:10" x14ac:dyDescent="0.3">
      <c r="A94" s="1" t="s">
        <v>114</v>
      </c>
      <c r="B94" s="2">
        <v>46110</v>
      </c>
      <c r="C94" s="3" t="s">
        <v>16</v>
      </c>
      <c r="D94" s="1" t="s">
        <v>36</v>
      </c>
      <c r="E94" s="1" t="s">
        <v>18</v>
      </c>
      <c r="F94" s="1">
        <v>4</v>
      </c>
      <c r="G94" s="1">
        <v>27566.27</v>
      </c>
      <c r="H94" s="1">
        <v>2664.53</v>
      </c>
      <c r="I94" s="4">
        <f t="shared" si="2"/>
        <v>9.6659069217561899E-2</v>
      </c>
      <c r="J94" s="11" t="str">
        <f t="shared" si="3"/>
        <v>High</v>
      </c>
    </row>
    <row r="95" spans="1:10" x14ac:dyDescent="0.3">
      <c r="A95" s="1" t="s">
        <v>115</v>
      </c>
      <c r="B95" s="2">
        <v>46111</v>
      </c>
      <c r="C95" s="3" t="s">
        <v>24</v>
      </c>
      <c r="D95" s="1" t="s">
        <v>36</v>
      </c>
      <c r="E95" s="1" t="s">
        <v>18</v>
      </c>
      <c r="F95" s="1">
        <v>10</v>
      </c>
      <c r="G95" s="1">
        <v>47434.32</v>
      </c>
      <c r="H95" s="1">
        <v>4934.63</v>
      </c>
      <c r="I95" s="4">
        <f t="shared" si="2"/>
        <v>0.10403079458080142</v>
      </c>
      <c r="J95" s="11" t="str">
        <f t="shared" si="3"/>
        <v>High</v>
      </c>
    </row>
    <row r="96" spans="1:10" x14ac:dyDescent="0.3">
      <c r="A96" s="1" t="s">
        <v>116</v>
      </c>
      <c r="B96" s="2">
        <v>46159</v>
      </c>
      <c r="C96" s="3" t="s">
        <v>24</v>
      </c>
      <c r="D96" s="1" t="s">
        <v>36</v>
      </c>
      <c r="E96" s="1" t="s">
        <v>18</v>
      </c>
      <c r="F96" s="1">
        <v>3</v>
      </c>
      <c r="G96" s="1">
        <v>48764.86</v>
      </c>
      <c r="H96" s="1">
        <v>10162.61</v>
      </c>
      <c r="I96" s="4">
        <f t="shared" si="2"/>
        <v>0.20840027019456225</v>
      </c>
      <c r="J96" s="11" t="str">
        <f t="shared" si="3"/>
        <v>High</v>
      </c>
    </row>
    <row r="97" spans="1:10" x14ac:dyDescent="0.3">
      <c r="A97" s="1" t="s">
        <v>117</v>
      </c>
      <c r="B97" s="2">
        <v>46120</v>
      </c>
      <c r="C97" s="3" t="s">
        <v>24</v>
      </c>
      <c r="D97" s="1" t="s">
        <v>17</v>
      </c>
      <c r="E97" s="1" t="s">
        <v>18</v>
      </c>
      <c r="F97" s="1">
        <v>2</v>
      </c>
      <c r="G97" s="1">
        <v>15806</v>
      </c>
      <c r="H97" s="1">
        <v>1733.99</v>
      </c>
      <c r="I97" s="4">
        <f t="shared" si="2"/>
        <v>0.10970454257876756</v>
      </c>
      <c r="J97" s="11" t="str">
        <f t="shared" si="3"/>
        <v>High</v>
      </c>
    </row>
    <row r="98" spans="1:10" x14ac:dyDescent="0.3">
      <c r="A98" s="1" t="s">
        <v>118</v>
      </c>
      <c r="B98" s="2">
        <v>46029</v>
      </c>
      <c r="C98" s="3" t="s">
        <v>8</v>
      </c>
      <c r="D98" s="1" t="s">
        <v>32</v>
      </c>
      <c r="E98" s="1" t="s">
        <v>14</v>
      </c>
      <c r="F98" s="1">
        <v>7</v>
      </c>
      <c r="G98" s="1">
        <v>19713.560000000001</v>
      </c>
      <c r="H98" s="1">
        <v>1189.06</v>
      </c>
      <c r="I98" s="4">
        <f t="shared" si="2"/>
        <v>6.0316858040861204E-2</v>
      </c>
      <c r="J98" s="11" t="str">
        <f t="shared" si="3"/>
        <v>High</v>
      </c>
    </row>
    <row r="99" spans="1:10" x14ac:dyDescent="0.3">
      <c r="A99" s="1" t="s">
        <v>119</v>
      </c>
      <c r="B99" s="2">
        <v>46116</v>
      </c>
      <c r="C99" s="3" t="s">
        <v>24</v>
      </c>
      <c r="D99" s="1" t="s">
        <v>17</v>
      </c>
      <c r="E99" s="1" t="s">
        <v>18</v>
      </c>
      <c r="F99" s="1">
        <v>9</v>
      </c>
      <c r="G99" s="1">
        <v>55117.25</v>
      </c>
      <c r="H99" s="1">
        <v>10334.92</v>
      </c>
      <c r="I99" s="4">
        <f t="shared" si="2"/>
        <v>0.18750790360549555</v>
      </c>
      <c r="J99" s="11" t="str">
        <f t="shared" si="3"/>
        <v>High</v>
      </c>
    </row>
    <row r="100" spans="1:10" x14ac:dyDescent="0.3">
      <c r="A100" s="1" t="s">
        <v>120</v>
      </c>
      <c r="B100" s="2">
        <v>46119</v>
      </c>
      <c r="C100" s="3" t="s">
        <v>12</v>
      </c>
      <c r="D100" s="1" t="s">
        <v>22</v>
      </c>
      <c r="E100" s="1" t="s">
        <v>10</v>
      </c>
      <c r="F100" s="1">
        <v>2</v>
      </c>
      <c r="G100" s="1">
        <v>10190.06</v>
      </c>
      <c r="H100" s="1">
        <v>1654.37</v>
      </c>
      <c r="I100" s="4">
        <f t="shared" si="2"/>
        <v>0.1623513502373882</v>
      </c>
      <c r="J100" s="11" t="str">
        <f t="shared" si="3"/>
        <v>High</v>
      </c>
    </row>
    <row r="101" spans="1:10" x14ac:dyDescent="0.3">
      <c r="A101" s="1" t="s">
        <v>121</v>
      </c>
      <c r="B101" s="2">
        <v>46166</v>
      </c>
      <c r="C101" s="3" t="s">
        <v>16</v>
      </c>
      <c r="D101" s="1" t="s">
        <v>9</v>
      </c>
      <c r="E101" s="1" t="s">
        <v>10</v>
      </c>
      <c r="F101" s="1">
        <v>4</v>
      </c>
      <c r="G101" s="1">
        <v>20849.599999999999</v>
      </c>
      <c r="H101" s="1">
        <v>3937.21</v>
      </c>
      <c r="I101" s="4">
        <f t="shared" si="2"/>
        <v>0.18883863479395291</v>
      </c>
      <c r="J101" s="11" t="str">
        <f t="shared" si="3"/>
        <v>High</v>
      </c>
    </row>
    <row r="102" spans="1:10" x14ac:dyDescent="0.3">
      <c r="A102" s="1" t="s">
        <v>122</v>
      </c>
      <c r="B102" s="2">
        <v>46091</v>
      </c>
      <c r="C102" s="3" t="s">
        <v>8</v>
      </c>
      <c r="D102" s="1" t="s">
        <v>29</v>
      </c>
      <c r="E102" s="1" t="s">
        <v>18</v>
      </c>
      <c r="F102" s="1">
        <v>8</v>
      </c>
      <c r="G102" s="1">
        <v>50993.31</v>
      </c>
      <c r="H102" s="1">
        <v>9779.06</v>
      </c>
      <c r="I102" s="4">
        <f t="shared" si="2"/>
        <v>0.19177143040920466</v>
      </c>
      <c r="J102" s="11" t="str">
        <f t="shared" si="3"/>
        <v>High</v>
      </c>
    </row>
    <row r="103" spans="1:10" x14ac:dyDescent="0.3">
      <c r="A103" s="1" t="s">
        <v>123</v>
      </c>
      <c r="B103" s="2">
        <v>46112</v>
      </c>
      <c r="C103" s="3" t="s">
        <v>16</v>
      </c>
      <c r="D103" s="1" t="s">
        <v>29</v>
      </c>
      <c r="E103" s="1" t="s">
        <v>18</v>
      </c>
      <c r="F103" s="1">
        <v>6</v>
      </c>
      <c r="G103" s="1">
        <v>9833.73</v>
      </c>
      <c r="H103" s="1">
        <v>1938.17</v>
      </c>
      <c r="I103" s="4">
        <f t="shared" si="2"/>
        <v>0.19709408332341849</v>
      </c>
      <c r="J103" s="11" t="str">
        <f t="shared" si="3"/>
        <v>High</v>
      </c>
    </row>
    <row r="104" spans="1:10" x14ac:dyDescent="0.3">
      <c r="A104" s="1" t="s">
        <v>124</v>
      </c>
      <c r="B104" s="2">
        <v>46030</v>
      </c>
      <c r="C104" s="3" t="s">
        <v>8</v>
      </c>
      <c r="D104" s="1" t="s">
        <v>9</v>
      </c>
      <c r="E104" s="1" t="s">
        <v>10</v>
      </c>
      <c r="F104" s="1">
        <v>2</v>
      </c>
      <c r="G104" s="1">
        <v>21186.86</v>
      </c>
      <c r="H104" s="1">
        <v>4062.6</v>
      </c>
      <c r="I104" s="4">
        <f t="shared" si="2"/>
        <v>0.19175092486569506</v>
      </c>
      <c r="J104" s="11" t="str">
        <f t="shared" si="3"/>
        <v>High</v>
      </c>
    </row>
    <row r="105" spans="1:10" x14ac:dyDescent="0.3">
      <c r="A105" s="1" t="s">
        <v>125</v>
      </c>
      <c r="B105" s="2">
        <v>46030</v>
      </c>
      <c r="C105" s="3" t="s">
        <v>16</v>
      </c>
      <c r="D105" s="1" t="s">
        <v>29</v>
      </c>
      <c r="E105" s="1" t="s">
        <v>18</v>
      </c>
      <c r="F105" s="1">
        <v>3</v>
      </c>
      <c r="G105" s="1">
        <v>34114.35</v>
      </c>
      <c r="H105" s="1">
        <v>2619.0300000000002</v>
      </c>
      <c r="I105" s="4">
        <f t="shared" si="2"/>
        <v>7.6772091509877821E-2</v>
      </c>
      <c r="J105" s="11" t="str">
        <f t="shared" si="3"/>
        <v>High</v>
      </c>
    </row>
    <row r="106" spans="1:10" x14ac:dyDescent="0.3">
      <c r="A106" s="1" t="s">
        <v>126</v>
      </c>
      <c r="B106" s="2">
        <v>46024</v>
      </c>
      <c r="C106" s="3" t="s">
        <v>24</v>
      </c>
      <c r="D106" s="1" t="s">
        <v>9</v>
      </c>
      <c r="E106" s="1" t="s">
        <v>10</v>
      </c>
      <c r="F106" s="1">
        <v>4</v>
      </c>
      <c r="G106" s="1">
        <v>41469.51</v>
      </c>
      <c r="H106" s="1">
        <v>3412.28</v>
      </c>
      <c r="I106" s="4">
        <f t="shared" si="2"/>
        <v>8.2284068463794241E-2</v>
      </c>
      <c r="J106" s="11" t="str">
        <f t="shared" si="3"/>
        <v>High</v>
      </c>
    </row>
    <row r="107" spans="1:10" x14ac:dyDescent="0.3">
      <c r="A107" s="1" t="s">
        <v>127</v>
      </c>
      <c r="B107" s="2">
        <v>46147</v>
      </c>
      <c r="C107" s="3" t="s">
        <v>16</v>
      </c>
      <c r="D107" s="1" t="s">
        <v>29</v>
      </c>
      <c r="E107" s="1" t="s">
        <v>18</v>
      </c>
      <c r="F107" s="1">
        <v>8</v>
      </c>
      <c r="G107" s="1">
        <v>6376.16</v>
      </c>
      <c r="H107" s="1">
        <v>1084.8800000000001</v>
      </c>
      <c r="I107" s="4">
        <f t="shared" si="2"/>
        <v>0.17014629494868386</v>
      </c>
      <c r="J107" s="11" t="str">
        <f t="shared" si="3"/>
        <v>High</v>
      </c>
    </row>
    <row r="108" spans="1:10" x14ac:dyDescent="0.3">
      <c r="A108" s="1" t="s">
        <v>128</v>
      </c>
      <c r="B108" s="2">
        <v>46184</v>
      </c>
      <c r="C108" s="3" t="s">
        <v>8</v>
      </c>
      <c r="D108" s="1" t="s">
        <v>17</v>
      </c>
      <c r="E108" s="1" t="s">
        <v>18</v>
      </c>
      <c r="F108" s="1">
        <v>7</v>
      </c>
      <c r="G108" s="1">
        <v>12743.84</v>
      </c>
      <c r="H108" s="1">
        <v>1672.18</v>
      </c>
      <c r="I108" s="4">
        <f t="shared" si="2"/>
        <v>0.13121476729149142</v>
      </c>
      <c r="J108" s="11" t="str">
        <f t="shared" si="3"/>
        <v>High</v>
      </c>
    </row>
    <row r="109" spans="1:10" x14ac:dyDescent="0.3">
      <c r="A109" s="1" t="s">
        <v>129</v>
      </c>
      <c r="B109" s="2">
        <v>46068</v>
      </c>
      <c r="C109" s="3" t="s">
        <v>8</v>
      </c>
      <c r="D109" s="1" t="s">
        <v>32</v>
      </c>
      <c r="E109" s="1" t="s">
        <v>14</v>
      </c>
      <c r="F109" s="1">
        <v>5</v>
      </c>
      <c r="G109" s="1">
        <v>49256.12</v>
      </c>
      <c r="H109" s="1">
        <v>11452.01</v>
      </c>
      <c r="I109" s="4">
        <f t="shared" si="2"/>
        <v>0.23249923055246738</v>
      </c>
      <c r="J109" s="11" t="str">
        <f t="shared" si="3"/>
        <v>High</v>
      </c>
    </row>
    <row r="110" spans="1:10" x14ac:dyDescent="0.3">
      <c r="A110" s="1" t="s">
        <v>130</v>
      </c>
      <c r="B110" s="2">
        <v>46030</v>
      </c>
      <c r="C110" s="3" t="s">
        <v>12</v>
      </c>
      <c r="D110" s="1" t="s">
        <v>29</v>
      </c>
      <c r="E110" s="1" t="s">
        <v>18</v>
      </c>
      <c r="F110" s="1">
        <v>9</v>
      </c>
      <c r="G110" s="1">
        <v>4761.8999999999996</v>
      </c>
      <c r="H110" s="1">
        <v>936.44</v>
      </c>
      <c r="I110" s="4">
        <f t="shared" si="2"/>
        <v>0.19665259665259668</v>
      </c>
      <c r="J110" s="11" t="str">
        <f t="shared" si="3"/>
        <v>Medium</v>
      </c>
    </row>
    <row r="111" spans="1:10" x14ac:dyDescent="0.3">
      <c r="A111" s="1" t="s">
        <v>131</v>
      </c>
      <c r="B111" s="2">
        <v>46057</v>
      </c>
      <c r="C111" s="3" t="s">
        <v>24</v>
      </c>
      <c r="D111" s="1" t="s">
        <v>32</v>
      </c>
      <c r="E111" s="1" t="s">
        <v>14</v>
      </c>
      <c r="F111" s="1">
        <v>10</v>
      </c>
      <c r="G111" s="1">
        <v>59314.02</v>
      </c>
      <c r="H111" s="1">
        <v>5108.8100000000004</v>
      </c>
      <c r="I111" s="4">
        <f t="shared" si="2"/>
        <v>8.6131575637598004E-2</v>
      </c>
      <c r="J111" s="11" t="str">
        <f t="shared" si="3"/>
        <v>High</v>
      </c>
    </row>
    <row r="112" spans="1:10" x14ac:dyDescent="0.3">
      <c r="A112" s="1" t="s">
        <v>132</v>
      </c>
      <c r="B112" s="2">
        <v>46023</v>
      </c>
      <c r="C112" s="3" t="s">
        <v>16</v>
      </c>
      <c r="D112" s="1" t="s">
        <v>36</v>
      </c>
      <c r="E112" s="1" t="s">
        <v>18</v>
      </c>
      <c r="F112" s="1">
        <v>7</v>
      </c>
      <c r="G112" s="1">
        <v>56321.67</v>
      </c>
      <c r="H112" s="1">
        <v>11772.27</v>
      </c>
      <c r="I112" s="4">
        <f t="shared" si="2"/>
        <v>0.20901848258405692</v>
      </c>
      <c r="J112" s="11" t="str">
        <f t="shared" si="3"/>
        <v>High</v>
      </c>
    </row>
    <row r="113" spans="1:10" x14ac:dyDescent="0.3">
      <c r="A113" s="1" t="s">
        <v>133</v>
      </c>
      <c r="B113" s="2">
        <v>46079</v>
      </c>
      <c r="C113" s="3" t="s">
        <v>8</v>
      </c>
      <c r="D113" s="1" t="s">
        <v>13</v>
      </c>
      <c r="E113" s="1" t="s">
        <v>14</v>
      </c>
      <c r="F113" s="1">
        <v>8</v>
      </c>
      <c r="G113" s="1">
        <v>44417.74</v>
      </c>
      <c r="H113" s="1">
        <v>5575.53</v>
      </c>
      <c r="I113" s="4">
        <f t="shared" si="2"/>
        <v>0.12552484660408206</v>
      </c>
      <c r="J113" s="11" t="str">
        <f t="shared" si="3"/>
        <v>High</v>
      </c>
    </row>
    <row r="114" spans="1:10" x14ac:dyDescent="0.3">
      <c r="A114" s="1" t="s">
        <v>134</v>
      </c>
      <c r="B114" s="2">
        <v>46053</v>
      </c>
      <c r="C114" s="3" t="s">
        <v>12</v>
      </c>
      <c r="D114" s="1" t="s">
        <v>9</v>
      </c>
      <c r="E114" s="1" t="s">
        <v>10</v>
      </c>
      <c r="F114" s="1">
        <v>9</v>
      </c>
      <c r="G114" s="1">
        <v>14005.12</v>
      </c>
      <c r="H114" s="1">
        <v>797.18</v>
      </c>
      <c r="I114" s="4">
        <f t="shared" si="2"/>
        <v>5.6920611890508607E-2</v>
      </c>
      <c r="J114" s="11" t="str">
        <f t="shared" si="3"/>
        <v>High</v>
      </c>
    </row>
    <row r="115" spans="1:10" x14ac:dyDescent="0.3">
      <c r="A115" s="1" t="s">
        <v>135</v>
      </c>
      <c r="B115" s="2">
        <v>46046</v>
      </c>
      <c r="C115" s="3" t="s">
        <v>16</v>
      </c>
      <c r="D115" s="1" t="s">
        <v>32</v>
      </c>
      <c r="E115" s="1" t="s">
        <v>14</v>
      </c>
      <c r="F115" s="1">
        <v>4</v>
      </c>
      <c r="G115" s="1">
        <v>21199.83</v>
      </c>
      <c r="H115" s="1">
        <v>4393.1400000000003</v>
      </c>
      <c r="I115" s="4">
        <f t="shared" si="2"/>
        <v>0.20722524661754363</v>
      </c>
      <c r="J115" s="11" t="str">
        <f t="shared" si="3"/>
        <v>High</v>
      </c>
    </row>
    <row r="116" spans="1:10" x14ac:dyDescent="0.3">
      <c r="A116" s="1" t="s">
        <v>136</v>
      </c>
      <c r="B116" s="2">
        <v>46167</v>
      </c>
      <c r="C116" s="3" t="s">
        <v>12</v>
      </c>
      <c r="D116" s="1" t="s">
        <v>36</v>
      </c>
      <c r="E116" s="1" t="s">
        <v>18</v>
      </c>
      <c r="F116" s="1">
        <v>4</v>
      </c>
      <c r="G116" s="1">
        <v>3498.01</v>
      </c>
      <c r="H116" s="1">
        <v>188.85</v>
      </c>
      <c r="I116" s="4">
        <f t="shared" si="2"/>
        <v>5.3987838799774722E-2</v>
      </c>
      <c r="J116" s="11" t="str">
        <f t="shared" si="3"/>
        <v>Medium</v>
      </c>
    </row>
    <row r="117" spans="1:10" x14ac:dyDescent="0.3">
      <c r="A117" s="1" t="s">
        <v>137</v>
      </c>
      <c r="B117" s="2">
        <v>46114</v>
      </c>
      <c r="C117" s="3" t="s">
        <v>12</v>
      </c>
      <c r="D117" s="1" t="s">
        <v>32</v>
      </c>
      <c r="E117" s="1" t="s">
        <v>14</v>
      </c>
      <c r="F117" s="1">
        <v>2</v>
      </c>
      <c r="G117" s="1">
        <v>40030.129999999997</v>
      </c>
      <c r="H117" s="1">
        <v>5076.03</v>
      </c>
      <c r="I117" s="4">
        <f t="shared" si="2"/>
        <v>0.1268052339575215</v>
      </c>
      <c r="J117" s="11" t="str">
        <f t="shared" si="3"/>
        <v>High</v>
      </c>
    </row>
    <row r="118" spans="1:10" x14ac:dyDescent="0.3">
      <c r="A118" s="1" t="s">
        <v>138</v>
      </c>
      <c r="B118" s="2">
        <v>46155</v>
      </c>
      <c r="C118" s="3" t="s">
        <v>24</v>
      </c>
      <c r="D118" s="1" t="s">
        <v>32</v>
      </c>
      <c r="E118" s="1" t="s">
        <v>14</v>
      </c>
      <c r="F118" s="1">
        <v>9</v>
      </c>
      <c r="G118" s="1">
        <v>57498.22</v>
      </c>
      <c r="H118" s="1">
        <v>11751.97</v>
      </c>
      <c r="I118" s="4">
        <f t="shared" si="2"/>
        <v>0.20438841411090639</v>
      </c>
      <c r="J118" s="11" t="str">
        <f t="shared" si="3"/>
        <v>High</v>
      </c>
    </row>
    <row r="119" spans="1:10" x14ac:dyDescent="0.3">
      <c r="A119" s="1" t="s">
        <v>139</v>
      </c>
      <c r="B119" s="2">
        <v>46117</v>
      </c>
      <c r="C119" s="3" t="s">
        <v>24</v>
      </c>
      <c r="D119" s="1" t="s">
        <v>29</v>
      </c>
      <c r="E119" s="1" t="s">
        <v>18</v>
      </c>
      <c r="F119" s="1">
        <v>8</v>
      </c>
      <c r="G119" s="1">
        <v>18844.689999999999</v>
      </c>
      <c r="H119" s="1">
        <v>1569.21</v>
      </c>
      <c r="I119" s="4">
        <f t="shared" si="2"/>
        <v>8.3270672003625437E-2</v>
      </c>
      <c r="J119" s="11" t="str">
        <f t="shared" si="3"/>
        <v>High</v>
      </c>
    </row>
    <row r="120" spans="1:10" x14ac:dyDescent="0.3">
      <c r="A120" s="1" t="s">
        <v>140</v>
      </c>
      <c r="B120" s="2">
        <v>46077</v>
      </c>
      <c r="C120" s="3" t="s">
        <v>16</v>
      </c>
      <c r="D120" s="1" t="s">
        <v>13</v>
      </c>
      <c r="E120" s="1" t="s">
        <v>14</v>
      </c>
      <c r="F120" s="1">
        <v>8</v>
      </c>
      <c r="G120" s="1">
        <v>50644.54</v>
      </c>
      <c r="H120" s="1">
        <v>4645</v>
      </c>
      <c r="I120" s="4">
        <f t="shared" si="2"/>
        <v>9.1717685657723411E-2</v>
      </c>
      <c r="J120" s="11" t="str">
        <f t="shared" si="3"/>
        <v>High</v>
      </c>
    </row>
    <row r="121" spans="1:10" x14ac:dyDescent="0.3">
      <c r="A121" s="1" t="s">
        <v>141</v>
      </c>
      <c r="B121" s="2">
        <v>46076</v>
      </c>
      <c r="C121" s="3" t="s">
        <v>12</v>
      </c>
      <c r="D121" s="1" t="s">
        <v>13</v>
      </c>
      <c r="E121" s="1" t="s">
        <v>14</v>
      </c>
      <c r="F121" s="1">
        <v>1</v>
      </c>
      <c r="G121" s="1">
        <v>32202.75</v>
      </c>
      <c r="H121" s="1">
        <v>1974.14</v>
      </c>
      <c r="I121" s="4">
        <f t="shared" si="2"/>
        <v>6.1303460108220575E-2</v>
      </c>
      <c r="J121" s="11" t="str">
        <f t="shared" si="3"/>
        <v>High</v>
      </c>
    </row>
    <row r="122" spans="1:10" x14ac:dyDescent="0.3">
      <c r="A122" s="1" t="s">
        <v>142</v>
      </c>
      <c r="B122" s="2">
        <v>46080</v>
      </c>
      <c r="C122" s="3" t="s">
        <v>16</v>
      </c>
      <c r="D122" s="1" t="s">
        <v>32</v>
      </c>
      <c r="E122" s="1" t="s">
        <v>14</v>
      </c>
      <c r="F122" s="1">
        <v>3</v>
      </c>
      <c r="G122" s="1">
        <v>38868.22</v>
      </c>
      <c r="H122" s="1">
        <v>7036.12</v>
      </c>
      <c r="I122" s="4">
        <f t="shared" si="2"/>
        <v>0.18102501220791689</v>
      </c>
      <c r="J122" s="11" t="str">
        <f t="shared" si="3"/>
        <v>High</v>
      </c>
    </row>
    <row r="123" spans="1:10" x14ac:dyDescent="0.3">
      <c r="A123" s="1" t="s">
        <v>143</v>
      </c>
      <c r="B123" s="2">
        <v>46070</v>
      </c>
      <c r="C123" s="3" t="s">
        <v>16</v>
      </c>
      <c r="D123" s="1" t="s">
        <v>13</v>
      </c>
      <c r="E123" s="1" t="s">
        <v>14</v>
      </c>
      <c r="F123" s="1">
        <v>2</v>
      </c>
      <c r="G123" s="1">
        <v>31011.58</v>
      </c>
      <c r="H123" s="1">
        <v>7054.31</v>
      </c>
      <c r="I123" s="4">
        <f t="shared" si="2"/>
        <v>0.22747341476957963</v>
      </c>
      <c r="J123" s="11" t="str">
        <f t="shared" si="3"/>
        <v>High</v>
      </c>
    </row>
    <row r="124" spans="1:10" x14ac:dyDescent="0.3">
      <c r="A124" s="1" t="s">
        <v>144</v>
      </c>
      <c r="B124" s="2">
        <v>46144</v>
      </c>
      <c r="C124" s="3" t="s">
        <v>24</v>
      </c>
      <c r="D124" s="1" t="s">
        <v>36</v>
      </c>
      <c r="E124" s="1" t="s">
        <v>18</v>
      </c>
      <c r="F124" s="1">
        <v>5</v>
      </c>
      <c r="G124" s="1">
        <v>30219.49</v>
      </c>
      <c r="H124" s="1">
        <v>3844.51</v>
      </c>
      <c r="I124" s="4">
        <f t="shared" si="2"/>
        <v>0.12721955267941318</v>
      </c>
      <c r="J124" s="11" t="str">
        <f t="shared" si="3"/>
        <v>High</v>
      </c>
    </row>
    <row r="125" spans="1:10" x14ac:dyDescent="0.3">
      <c r="A125" s="1" t="s">
        <v>145</v>
      </c>
      <c r="B125" s="2">
        <v>46133</v>
      </c>
      <c r="C125" s="3" t="s">
        <v>12</v>
      </c>
      <c r="D125" s="1" t="s">
        <v>36</v>
      </c>
      <c r="E125" s="1" t="s">
        <v>18</v>
      </c>
      <c r="F125" s="1">
        <v>8</v>
      </c>
      <c r="G125" s="1">
        <v>51884.71</v>
      </c>
      <c r="H125" s="1">
        <v>12604.93</v>
      </c>
      <c r="I125" s="4">
        <f t="shared" si="2"/>
        <v>0.24294112851358329</v>
      </c>
      <c r="J125" s="11" t="str">
        <f t="shared" si="3"/>
        <v>High</v>
      </c>
    </row>
    <row r="126" spans="1:10" x14ac:dyDescent="0.3">
      <c r="A126" s="1" t="s">
        <v>146</v>
      </c>
      <c r="B126" s="2">
        <v>46196</v>
      </c>
      <c r="C126" s="3" t="s">
        <v>8</v>
      </c>
      <c r="D126" s="1" t="s">
        <v>36</v>
      </c>
      <c r="E126" s="1" t="s">
        <v>18</v>
      </c>
      <c r="F126" s="1">
        <v>6</v>
      </c>
      <c r="G126" s="1">
        <v>38859.75</v>
      </c>
      <c r="H126" s="1">
        <v>9302.35</v>
      </c>
      <c r="I126" s="4">
        <f t="shared" si="2"/>
        <v>0.23938265171546394</v>
      </c>
      <c r="J126" s="11" t="str">
        <f t="shared" si="3"/>
        <v>High</v>
      </c>
    </row>
    <row r="127" spans="1:10" x14ac:dyDescent="0.3">
      <c r="A127" s="1" t="s">
        <v>147</v>
      </c>
      <c r="B127" s="2">
        <v>46120</v>
      </c>
      <c r="C127" s="3" t="s">
        <v>24</v>
      </c>
      <c r="D127" s="1" t="s">
        <v>22</v>
      </c>
      <c r="E127" s="1" t="s">
        <v>10</v>
      </c>
      <c r="F127" s="1">
        <v>9</v>
      </c>
      <c r="G127" s="1">
        <v>25136.61</v>
      </c>
      <c r="H127" s="1">
        <v>3610.83</v>
      </c>
      <c r="I127" s="4">
        <f t="shared" si="2"/>
        <v>0.14364824851083738</v>
      </c>
      <c r="J127" s="11" t="str">
        <f t="shared" si="3"/>
        <v>High</v>
      </c>
    </row>
    <row r="128" spans="1:10" x14ac:dyDescent="0.3">
      <c r="A128" s="1" t="s">
        <v>148</v>
      </c>
      <c r="B128" s="2">
        <v>46166</v>
      </c>
      <c r="C128" s="3" t="s">
        <v>16</v>
      </c>
      <c r="D128" s="1" t="s">
        <v>29</v>
      </c>
      <c r="E128" s="1" t="s">
        <v>18</v>
      </c>
      <c r="F128" s="1">
        <v>2</v>
      </c>
      <c r="G128" s="1">
        <v>4852.05</v>
      </c>
      <c r="H128" s="1">
        <v>908.58</v>
      </c>
      <c r="I128" s="4">
        <f t="shared" si="2"/>
        <v>0.18725693263672055</v>
      </c>
      <c r="J128" s="11" t="str">
        <f t="shared" si="3"/>
        <v>Medium</v>
      </c>
    </row>
    <row r="129" spans="1:10" x14ac:dyDescent="0.3">
      <c r="A129" s="1" t="s">
        <v>149</v>
      </c>
      <c r="B129" s="2">
        <v>46107</v>
      </c>
      <c r="C129" s="3" t="s">
        <v>12</v>
      </c>
      <c r="D129" s="1" t="s">
        <v>9</v>
      </c>
      <c r="E129" s="1" t="s">
        <v>10</v>
      </c>
      <c r="F129" s="1">
        <v>3</v>
      </c>
      <c r="G129" s="1">
        <v>46781.52</v>
      </c>
      <c r="H129" s="1">
        <v>10643.09</v>
      </c>
      <c r="I129" s="4">
        <f t="shared" si="2"/>
        <v>0.22750628880805926</v>
      </c>
      <c r="J129" s="11" t="str">
        <f t="shared" si="3"/>
        <v>High</v>
      </c>
    </row>
    <row r="130" spans="1:10" x14ac:dyDescent="0.3">
      <c r="A130" s="1" t="s">
        <v>150</v>
      </c>
      <c r="B130" s="2">
        <v>46121</v>
      </c>
      <c r="C130" s="3" t="s">
        <v>16</v>
      </c>
      <c r="D130" s="1" t="s">
        <v>22</v>
      </c>
      <c r="E130" s="1" t="s">
        <v>10</v>
      </c>
      <c r="F130" s="1">
        <v>5</v>
      </c>
      <c r="G130" s="1">
        <v>8381.73</v>
      </c>
      <c r="H130" s="1">
        <v>1999.64</v>
      </c>
      <c r="I130" s="4">
        <f t="shared" si="2"/>
        <v>0.23857127347218299</v>
      </c>
      <c r="J130" s="11" t="str">
        <f t="shared" si="3"/>
        <v>High</v>
      </c>
    </row>
    <row r="131" spans="1:10" x14ac:dyDescent="0.3">
      <c r="A131" s="1" t="s">
        <v>151</v>
      </c>
      <c r="B131" s="2">
        <v>46091</v>
      </c>
      <c r="C131" s="3" t="s">
        <v>24</v>
      </c>
      <c r="D131" s="1" t="s">
        <v>36</v>
      </c>
      <c r="E131" s="1" t="s">
        <v>18</v>
      </c>
      <c r="F131" s="1">
        <v>3</v>
      </c>
      <c r="G131" s="1">
        <v>828.72</v>
      </c>
      <c r="H131" s="1">
        <v>166.03</v>
      </c>
      <c r="I131" s="4">
        <f t="shared" ref="I131:I194" si="4">H131/G131</f>
        <v>0.20034511053190462</v>
      </c>
      <c r="J131" s="11" t="str">
        <f t="shared" ref="J131:J194" si="5">IF(G131&gt;5000,"High","Medium")</f>
        <v>Medium</v>
      </c>
    </row>
    <row r="132" spans="1:10" x14ac:dyDescent="0.3">
      <c r="A132" s="1" t="s">
        <v>152</v>
      </c>
      <c r="B132" s="2">
        <v>46133</v>
      </c>
      <c r="C132" s="3" t="s">
        <v>8</v>
      </c>
      <c r="D132" s="1" t="s">
        <v>22</v>
      </c>
      <c r="E132" s="1" t="s">
        <v>10</v>
      </c>
      <c r="F132" s="1">
        <v>3</v>
      </c>
      <c r="G132" s="1">
        <v>42402.5</v>
      </c>
      <c r="H132" s="1">
        <v>4880.0200000000004</v>
      </c>
      <c r="I132" s="4">
        <f t="shared" si="4"/>
        <v>0.11508802547019634</v>
      </c>
      <c r="J132" s="11" t="str">
        <f t="shared" si="5"/>
        <v>High</v>
      </c>
    </row>
    <row r="133" spans="1:10" x14ac:dyDescent="0.3">
      <c r="A133" s="1" t="s">
        <v>153</v>
      </c>
      <c r="B133" s="2">
        <v>46024</v>
      </c>
      <c r="C133" s="3" t="s">
        <v>24</v>
      </c>
      <c r="D133" s="1" t="s">
        <v>20</v>
      </c>
      <c r="E133" s="1" t="s">
        <v>14</v>
      </c>
      <c r="F133" s="1">
        <v>2</v>
      </c>
      <c r="G133" s="1">
        <v>12903.81</v>
      </c>
      <c r="H133" s="1">
        <v>1070.94</v>
      </c>
      <c r="I133" s="4">
        <f t="shared" si="4"/>
        <v>8.2994092442464681E-2</v>
      </c>
      <c r="J133" s="11" t="str">
        <f t="shared" si="5"/>
        <v>High</v>
      </c>
    </row>
    <row r="134" spans="1:10" x14ac:dyDescent="0.3">
      <c r="A134" s="1" t="s">
        <v>154</v>
      </c>
      <c r="B134" s="2">
        <v>46139</v>
      </c>
      <c r="C134" s="3" t="s">
        <v>12</v>
      </c>
      <c r="D134" s="1" t="s">
        <v>32</v>
      </c>
      <c r="E134" s="1" t="s">
        <v>14</v>
      </c>
      <c r="F134" s="1">
        <v>2</v>
      </c>
      <c r="G134" s="1">
        <v>54777.96</v>
      </c>
      <c r="H134" s="1">
        <v>11220.29</v>
      </c>
      <c r="I134" s="4">
        <f t="shared" si="4"/>
        <v>0.20483219893548429</v>
      </c>
      <c r="J134" s="11" t="str">
        <f t="shared" si="5"/>
        <v>High</v>
      </c>
    </row>
    <row r="135" spans="1:10" x14ac:dyDescent="0.3">
      <c r="A135" s="1" t="s">
        <v>155</v>
      </c>
      <c r="B135" s="2">
        <v>46203</v>
      </c>
      <c r="C135" s="3" t="s">
        <v>24</v>
      </c>
      <c r="D135" s="1" t="s">
        <v>17</v>
      </c>
      <c r="E135" s="1" t="s">
        <v>18</v>
      </c>
      <c r="F135" s="1">
        <v>3</v>
      </c>
      <c r="G135" s="1">
        <v>48632.54</v>
      </c>
      <c r="H135" s="1">
        <v>3478.07</v>
      </c>
      <c r="I135" s="4">
        <f t="shared" si="4"/>
        <v>7.1517342092352165E-2</v>
      </c>
      <c r="J135" s="11" t="str">
        <f t="shared" si="5"/>
        <v>High</v>
      </c>
    </row>
    <row r="136" spans="1:10" x14ac:dyDescent="0.3">
      <c r="A136" s="1" t="s">
        <v>156</v>
      </c>
      <c r="B136" s="2">
        <v>46085</v>
      </c>
      <c r="C136" s="3" t="s">
        <v>16</v>
      </c>
      <c r="D136" s="1" t="s">
        <v>13</v>
      </c>
      <c r="E136" s="1" t="s">
        <v>14</v>
      </c>
      <c r="F136" s="1">
        <v>9</v>
      </c>
      <c r="G136" s="1">
        <v>57308.14</v>
      </c>
      <c r="H136" s="1">
        <v>11417.05</v>
      </c>
      <c r="I136" s="4">
        <f t="shared" si="4"/>
        <v>0.19922213493580493</v>
      </c>
      <c r="J136" s="11" t="str">
        <f t="shared" si="5"/>
        <v>High</v>
      </c>
    </row>
    <row r="137" spans="1:10" x14ac:dyDescent="0.3">
      <c r="A137" s="1" t="s">
        <v>157</v>
      </c>
      <c r="B137" s="2">
        <v>46095</v>
      </c>
      <c r="C137" s="3" t="s">
        <v>12</v>
      </c>
      <c r="D137" s="1" t="s">
        <v>32</v>
      </c>
      <c r="E137" s="1" t="s">
        <v>14</v>
      </c>
      <c r="F137" s="1">
        <v>7</v>
      </c>
      <c r="G137" s="1">
        <v>23357.4</v>
      </c>
      <c r="H137" s="1">
        <v>2873.7</v>
      </c>
      <c r="I137" s="4">
        <f t="shared" si="4"/>
        <v>0.12303167304580132</v>
      </c>
      <c r="J137" s="11" t="str">
        <f t="shared" si="5"/>
        <v>High</v>
      </c>
    </row>
    <row r="138" spans="1:10" x14ac:dyDescent="0.3">
      <c r="A138" s="1" t="s">
        <v>158</v>
      </c>
      <c r="B138" s="2">
        <v>46186</v>
      </c>
      <c r="C138" s="3" t="s">
        <v>12</v>
      </c>
      <c r="D138" s="1" t="s">
        <v>36</v>
      </c>
      <c r="E138" s="1" t="s">
        <v>18</v>
      </c>
      <c r="F138" s="1">
        <v>6</v>
      </c>
      <c r="G138" s="1">
        <v>4436.09</v>
      </c>
      <c r="H138" s="1">
        <v>371.21</v>
      </c>
      <c r="I138" s="4">
        <f t="shared" si="4"/>
        <v>8.3679546627773549E-2</v>
      </c>
      <c r="J138" s="11" t="str">
        <f t="shared" si="5"/>
        <v>Medium</v>
      </c>
    </row>
    <row r="139" spans="1:10" x14ac:dyDescent="0.3">
      <c r="A139" s="1" t="s">
        <v>159</v>
      </c>
      <c r="B139" s="2">
        <v>46151</v>
      </c>
      <c r="C139" s="3" t="s">
        <v>24</v>
      </c>
      <c r="D139" s="1" t="s">
        <v>17</v>
      </c>
      <c r="E139" s="1" t="s">
        <v>18</v>
      </c>
      <c r="F139" s="1">
        <v>6</v>
      </c>
      <c r="G139" s="1">
        <v>2040.39</v>
      </c>
      <c r="H139" s="1">
        <v>272.83</v>
      </c>
      <c r="I139" s="4">
        <f t="shared" si="4"/>
        <v>0.13371463298683092</v>
      </c>
      <c r="J139" s="11" t="str">
        <f t="shared" si="5"/>
        <v>Medium</v>
      </c>
    </row>
    <row r="140" spans="1:10" x14ac:dyDescent="0.3">
      <c r="A140" s="1" t="s">
        <v>160</v>
      </c>
      <c r="B140" s="2">
        <v>46139</v>
      </c>
      <c r="C140" s="3" t="s">
        <v>16</v>
      </c>
      <c r="D140" s="1" t="s">
        <v>9</v>
      </c>
      <c r="E140" s="1" t="s">
        <v>10</v>
      </c>
      <c r="F140" s="1">
        <v>2</v>
      </c>
      <c r="G140" s="1">
        <v>21695.79</v>
      </c>
      <c r="H140" s="1">
        <v>4974.53</v>
      </c>
      <c r="I140" s="4">
        <f t="shared" si="4"/>
        <v>0.22928549732459613</v>
      </c>
      <c r="J140" s="11" t="str">
        <f t="shared" si="5"/>
        <v>High</v>
      </c>
    </row>
    <row r="141" spans="1:10" x14ac:dyDescent="0.3">
      <c r="A141" s="1" t="s">
        <v>161</v>
      </c>
      <c r="B141" s="2">
        <v>46070</v>
      </c>
      <c r="C141" s="3" t="s">
        <v>12</v>
      </c>
      <c r="D141" s="1" t="s">
        <v>32</v>
      </c>
      <c r="E141" s="1" t="s">
        <v>14</v>
      </c>
      <c r="F141" s="1">
        <v>6</v>
      </c>
      <c r="G141" s="1">
        <v>1598.54</v>
      </c>
      <c r="H141" s="1">
        <v>313.31</v>
      </c>
      <c r="I141" s="4">
        <f t="shared" si="4"/>
        <v>0.1959975978079998</v>
      </c>
      <c r="J141" s="11" t="str">
        <f t="shared" si="5"/>
        <v>Medium</v>
      </c>
    </row>
    <row r="142" spans="1:10" x14ac:dyDescent="0.3">
      <c r="A142" s="1" t="s">
        <v>162</v>
      </c>
      <c r="B142" s="2">
        <v>46064</v>
      </c>
      <c r="C142" s="3" t="s">
        <v>24</v>
      </c>
      <c r="D142" s="1" t="s">
        <v>13</v>
      </c>
      <c r="E142" s="1" t="s">
        <v>14</v>
      </c>
      <c r="F142" s="1">
        <v>5</v>
      </c>
      <c r="G142" s="1">
        <v>1881.79</v>
      </c>
      <c r="H142" s="1">
        <v>170.12</v>
      </c>
      <c r="I142" s="4">
        <f t="shared" si="4"/>
        <v>9.0403286232788996E-2</v>
      </c>
      <c r="J142" s="11" t="str">
        <f t="shared" si="5"/>
        <v>Medium</v>
      </c>
    </row>
    <row r="143" spans="1:10" x14ac:dyDescent="0.3">
      <c r="A143" s="1" t="s">
        <v>163</v>
      </c>
      <c r="B143" s="2">
        <v>46107</v>
      </c>
      <c r="C143" s="3" t="s">
        <v>8</v>
      </c>
      <c r="D143" s="1" t="s">
        <v>13</v>
      </c>
      <c r="E143" s="1" t="s">
        <v>14</v>
      </c>
      <c r="F143" s="1">
        <v>1</v>
      </c>
      <c r="G143" s="1">
        <v>41562.449999999997</v>
      </c>
      <c r="H143" s="1">
        <v>3582.72</v>
      </c>
      <c r="I143" s="4">
        <f t="shared" si="4"/>
        <v>8.6200885655200787E-2</v>
      </c>
      <c r="J143" s="11" t="str">
        <f t="shared" si="5"/>
        <v>High</v>
      </c>
    </row>
    <row r="144" spans="1:10" x14ac:dyDescent="0.3">
      <c r="A144" s="1" t="s">
        <v>164</v>
      </c>
      <c r="B144" s="2">
        <v>46189</v>
      </c>
      <c r="C144" s="3" t="s">
        <v>8</v>
      </c>
      <c r="D144" s="1" t="s">
        <v>17</v>
      </c>
      <c r="E144" s="1" t="s">
        <v>18</v>
      </c>
      <c r="F144" s="1">
        <v>9</v>
      </c>
      <c r="G144" s="1">
        <v>29539.9</v>
      </c>
      <c r="H144" s="1">
        <v>7071.29</v>
      </c>
      <c r="I144" s="4">
        <f t="shared" si="4"/>
        <v>0.23938097285366572</v>
      </c>
      <c r="J144" s="11" t="str">
        <f t="shared" si="5"/>
        <v>High</v>
      </c>
    </row>
    <row r="145" spans="1:10" x14ac:dyDescent="0.3">
      <c r="A145" s="1" t="s">
        <v>165</v>
      </c>
      <c r="B145" s="2">
        <v>46101</v>
      </c>
      <c r="C145" s="3" t="s">
        <v>8</v>
      </c>
      <c r="D145" s="1" t="s">
        <v>22</v>
      </c>
      <c r="E145" s="1" t="s">
        <v>10</v>
      </c>
      <c r="F145" s="1">
        <v>3</v>
      </c>
      <c r="G145" s="1">
        <v>45310.7</v>
      </c>
      <c r="H145" s="1">
        <v>9610.51</v>
      </c>
      <c r="I145" s="4">
        <f t="shared" si="4"/>
        <v>0.21210243937966089</v>
      </c>
      <c r="J145" s="11" t="str">
        <f t="shared" si="5"/>
        <v>High</v>
      </c>
    </row>
    <row r="146" spans="1:10" x14ac:dyDescent="0.3">
      <c r="A146" s="1" t="s">
        <v>166</v>
      </c>
      <c r="B146" s="2">
        <v>46079</v>
      </c>
      <c r="C146" s="3" t="s">
        <v>12</v>
      </c>
      <c r="D146" s="1" t="s">
        <v>20</v>
      </c>
      <c r="E146" s="1" t="s">
        <v>14</v>
      </c>
      <c r="F146" s="1">
        <v>9</v>
      </c>
      <c r="G146" s="1">
        <v>3131.61</v>
      </c>
      <c r="H146" s="1">
        <v>229.33</v>
      </c>
      <c r="I146" s="4">
        <f t="shared" si="4"/>
        <v>7.3230702418244933E-2</v>
      </c>
      <c r="J146" s="11" t="str">
        <f t="shared" si="5"/>
        <v>Medium</v>
      </c>
    </row>
    <row r="147" spans="1:10" x14ac:dyDescent="0.3">
      <c r="A147" s="1" t="s">
        <v>167</v>
      </c>
      <c r="B147" s="2">
        <v>46136</v>
      </c>
      <c r="C147" s="3" t="s">
        <v>24</v>
      </c>
      <c r="D147" s="1" t="s">
        <v>36</v>
      </c>
      <c r="E147" s="1" t="s">
        <v>18</v>
      </c>
      <c r="F147" s="1">
        <v>5</v>
      </c>
      <c r="G147" s="1">
        <v>4738.87</v>
      </c>
      <c r="H147" s="1">
        <v>264.35000000000002</v>
      </c>
      <c r="I147" s="4">
        <f t="shared" si="4"/>
        <v>5.5783340754230443E-2</v>
      </c>
      <c r="J147" s="11" t="str">
        <f t="shared" si="5"/>
        <v>Medium</v>
      </c>
    </row>
    <row r="148" spans="1:10" x14ac:dyDescent="0.3">
      <c r="A148" s="1" t="s">
        <v>168</v>
      </c>
      <c r="B148" s="2">
        <v>46147</v>
      </c>
      <c r="C148" s="3" t="s">
        <v>16</v>
      </c>
      <c r="D148" s="1" t="s">
        <v>9</v>
      </c>
      <c r="E148" s="1" t="s">
        <v>10</v>
      </c>
      <c r="F148" s="1">
        <v>10</v>
      </c>
      <c r="G148" s="1">
        <v>52491.81</v>
      </c>
      <c r="H148" s="1">
        <v>2635.69</v>
      </c>
      <c r="I148" s="4">
        <f t="shared" si="4"/>
        <v>5.0211452034136378E-2</v>
      </c>
      <c r="J148" s="11" t="str">
        <f t="shared" si="5"/>
        <v>High</v>
      </c>
    </row>
    <row r="149" spans="1:10" x14ac:dyDescent="0.3">
      <c r="A149" s="1" t="s">
        <v>169</v>
      </c>
      <c r="B149" s="2">
        <v>46091</v>
      </c>
      <c r="C149" s="3" t="s">
        <v>24</v>
      </c>
      <c r="D149" s="1" t="s">
        <v>9</v>
      </c>
      <c r="E149" s="1" t="s">
        <v>10</v>
      </c>
      <c r="F149" s="1">
        <v>3</v>
      </c>
      <c r="G149" s="1">
        <v>21093.68</v>
      </c>
      <c r="H149" s="1">
        <v>1810.13</v>
      </c>
      <c r="I149" s="4">
        <f t="shared" si="4"/>
        <v>8.5813855145237816E-2</v>
      </c>
      <c r="J149" s="11" t="str">
        <f t="shared" si="5"/>
        <v>High</v>
      </c>
    </row>
    <row r="150" spans="1:10" x14ac:dyDescent="0.3">
      <c r="A150" s="1" t="s">
        <v>170</v>
      </c>
      <c r="B150" s="2">
        <v>46170</v>
      </c>
      <c r="C150" s="3" t="s">
        <v>12</v>
      </c>
      <c r="D150" s="1" t="s">
        <v>20</v>
      </c>
      <c r="E150" s="1" t="s">
        <v>14</v>
      </c>
      <c r="F150" s="1">
        <v>2</v>
      </c>
      <c r="G150" s="1">
        <v>22870.5</v>
      </c>
      <c r="H150" s="1">
        <v>5257.66</v>
      </c>
      <c r="I150" s="4">
        <f t="shared" si="4"/>
        <v>0.22988828403401762</v>
      </c>
      <c r="J150" s="11" t="str">
        <f t="shared" si="5"/>
        <v>High</v>
      </c>
    </row>
    <row r="151" spans="1:10" x14ac:dyDescent="0.3">
      <c r="A151" s="1" t="s">
        <v>171</v>
      </c>
      <c r="B151" s="2">
        <v>46097</v>
      </c>
      <c r="C151" s="3" t="s">
        <v>12</v>
      </c>
      <c r="D151" s="1" t="s">
        <v>32</v>
      </c>
      <c r="E151" s="1" t="s">
        <v>14</v>
      </c>
      <c r="F151" s="1">
        <v>5</v>
      </c>
      <c r="G151" s="1">
        <v>17866.55</v>
      </c>
      <c r="H151" s="1">
        <v>3063.31</v>
      </c>
      <c r="I151" s="4">
        <f t="shared" si="4"/>
        <v>0.17145503748625224</v>
      </c>
      <c r="J151" s="11" t="str">
        <f t="shared" si="5"/>
        <v>High</v>
      </c>
    </row>
    <row r="152" spans="1:10" x14ac:dyDescent="0.3">
      <c r="A152" s="1" t="s">
        <v>172</v>
      </c>
      <c r="B152" s="2">
        <v>46057</v>
      </c>
      <c r="C152" s="3" t="s">
        <v>12</v>
      </c>
      <c r="D152" s="1" t="s">
        <v>20</v>
      </c>
      <c r="E152" s="1" t="s">
        <v>14</v>
      </c>
      <c r="F152" s="1">
        <v>9</v>
      </c>
      <c r="G152" s="1">
        <v>2299.85</v>
      </c>
      <c r="H152" s="1">
        <v>302.2</v>
      </c>
      <c r="I152" s="4">
        <f t="shared" si="4"/>
        <v>0.13139987390481989</v>
      </c>
      <c r="J152" s="11" t="str">
        <f t="shared" si="5"/>
        <v>Medium</v>
      </c>
    </row>
    <row r="153" spans="1:10" x14ac:dyDescent="0.3">
      <c r="A153" s="1" t="s">
        <v>173</v>
      </c>
      <c r="B153" s="2">
        <v>46111</v>
      </c>
      <c r="C153" s="3" t="s">
        <v>12</v>
      </c>
      <c r="D153" s="1" t="s">
        <v>22</v>
      </c>
      <c r="E153" s="1" t="s">
        <v>10</v>
      </c>
      <c r="F153" s="1">
        <v>4</v>
      </c>
      <c r="G153" s="1">
        <v>37284.800000000003</v>
      </c>
      <c r="H153" s="1">
        <v>8629.58</v>
      </c>
      <c r="I153" s="4">
        <f t="shared" si="4"/>
        <v>0.23145034974037676</v>
      </c>
      <c r="J153" s="11" t="str">
        <f t="shared" si="5"/>
        <v>High</v>
      </c>
    </row>
    <row r="154" spans="1:10" x14ac:dyDescent="0.3">
      <c r="A154" s="1" t="s">
        <v>174</v>
      </c>
      <c r="B154" s="2">
        <v>46057</v>
      </c>
      <c r="C154" s="3" t="s">
        <v>24</v>
      </c>
      <c r="D154" s="1" t="s">
        <v>13</v>
      </c>
      <c r="E154" s="1" t="s">
        <v>14</v>
      </c>
      <c r="F154" s="1">
        <v>8</v>
      </c>
      <c r="G154" s="1">
        <v>25864.35</v>
      </c>
      <c r="H154" s="1">
        <v>6220.75</v>
      </c>
      <c r="I154" s="4">
        <f t="shared" si="4"/>
        <v>0.24051445329188634</v>
      </c>
      <c r="J154" s="11" t="str">
        <f t="shared" si="5"/>
        <v>High</v>
      </c>
    </row>
    <row r="155" spans="1:10" x14ac:dyDescent="0.3">
      <c r="A155" s="1" t="s">
        <v>175</v>
      </c>
      <c r="B155" s="2">
        <v>46117</v>
      </c>
      <c r="C155" s="3" t="s">
        <v>16</v>
      </c>
      <c r="D155" s="1" t="s">
        <v>22</v>
      </c>
      <c r="E155" s="1" t="s">
        <v>10</v>
      </c>
      <c r="F155" s="1">
        <v>4</v>
      </c>
      <c r="G155" s="1">
        <v>33783.879999999997</v>
      </c>
      <c r="H155" s="1">
        <v>4659.76</v>
      </c>
      <c r="I155" s="4">
        <f t="shared" si="4"/>
        <v>0.13792850317962296</v>
      </c>
      <c r="J155" s="11" t="str">
        <f t="shared" si="5"/>
        <v>High</v>
      </c>
    </row>
    <row r="156" spans="1:10" x14ac:dyDescent="0.3">
      <c r="A156" s="1" t="s">
        <v>176</v>
      </c>
      <c r="B156" s="2">
        <v>46134</v>
      </c>
      <c r="C156" s="3" t="s">
        <v>8</v>
      </c>
      <c r="D156" s="1" t="s">
        <v>29</v>
      </c>
      <c r="E156" s="1" t="s">
        <v>18</v>
      </c>
      <c r="F156" s="1">
        <v>1</v>
      </c>
      <c r="G156" s="1">
        <v>53295.22</v>
      </c>
      <c r="H156" s="1">
        <v>8522.43</v>
      </c>
      <c r="I156" s="4">
        <f t="shared" si="4"/>
        <v>0.15990983806802936</v>
      </c>
      <c r="J156" s="11" t="str">
        <f t="shared" si="5"/>
        <v>High</v>
      </c>
    </row>
    <row r="157" spans="1:10" x14ac:dyDescent="0.3">
      <c r="A157" s="1" t="s">
        <v>177</v>
      </c>
      <c r="B157" s="2">
        <v>46052</v>
      </c>
      <c r="C157" s="3" t="s">
        <v>16</v>
      </c>
      <c r="D157" s="1" t="s">
        <v>36</v>
      </c>
      <c r="E157" s="1" t="s">
        <v>18</v>
      </c>
      <c r="F157" s="1">
        <v>1</v>
      </c>
      <c r="G157" s="1">
        <v>21953.59</v>
      </c>
      <c r="H157" s="1">
        <v>4374.1099999999997</v>
      </c>
      <c r="I157" s="4">
        <f t="shared" si="4"/>
        <v>0.19924349502746475</v>
      </c>
      <c r="J157" s="11" t="str">
        <f t="shared" si="5"/>
        <v>High</v>
      </c>
    </row>
    <row r="158" spans="1:10" x14ac:dyDescent="0.3">
      <c r="A158" s="1" t="s">
        <v>178</v>
      </c>
      <c r="B158" s="2">
        <v>46100</v>
      </c>
      <c r="C158" s="3" t="s">
        <v>12</v>
      </c>
      <c r="D158" s="1" t="s">
        <v>9</v>
      </c>
      <c r="E158" s="1" t="s">
        <v>10</v>
      </c>
      <c r="F158" s="1">
        <v>5</v>
      </c>
      <c r="G158" s="1">
        <v>40311.089999999997</v>
      </c>
      <c r="H158" s="1">
        <v>5343.22</v>
      </c>
      <c r="I158" s="4">
        <f t="shared" si="4"/>
        <v>0.13254962840250661</v>
      </c>
      <c r="J158" s="11" t="str">
        <f t="shared" si="5"/>
        <v>High</v>
      </c>
    </row>
    <row r="159" spans="1:10" x14ac:dyDescent="0.3">
      <c r="A159" s="1" t="s">
        <v>179</v>
      </c>
      <c r="B159" s="2">
        <v>46061</v>
      </c>
      <c r="C159" s="3" t="s">
        <v>16</v>
      </c>
      <c r="D159" s="1" t="s">
        <v>9</v>
      </c>
      <c r="E159" s="1" t="s">
        <v>10</v>
      </c>
      <c r="F159" s="1">
        <v>2</v>
      </c>
      <c r="G159" s="1">
        <v>8597.6299999999992</v>
      </c>
      <c r="H159" s="1">
        <v>847.15</v>
      </c>
      <c r="I159" s="4">
        <f t="shared" si="4"/>
        <v>9.8532967806244279E-2</v>
      </c>
      <c r="J159" s="11" t="str">
        <f t="shared" si="5"/>
        <v>High</v>
      </c>
    </row>
    <row r="160" spans="1:10" x14ac:dyDescent="0.3">
      <c r="A160" s="1" t="s">
        <v>180</v>
      </c>
      <c r="B160" s="2">
        <v>46090</v>
      </c>
      <c r="C160" s="3" t="s">
        <v>8</v>
      </c>
      <c r="D160" s="1" t="s">
        <v>29</v>
      </c>
      <c r="E160" s="1" t="s">
        <v>18</v>
      </c>
      <c r="F160" s="1">
        <v>2</v>
      </c>
      <c r="G160" s="1">
        <v>15835.7</v>
      </c>
      <c r="H160" s="1">
        <v>1830.59</v>
      </c>
      <c r="I160" s="4">
        <f t="shared" si="4"/>
        <v>0.11559893152812947</v>
      </c>
      <c r="J160" s="11" t="str">
        <f t="shared" si="5"/>
        <v>High</v>
      </c>
    </row>
    <row r="161" spans="1:10" x14ac:dyDescent="0.3">
      <c r="A161" s="1" t="s">
        <v>181</v>
      </c>
      <c r="B161" s="2">
        <v>46106</v>
      </c>
      <c r="C161" s="3" t="s">
        <v>16</v>
      </c>
      <c r="D161" s="1" t="s">
        <v>29</v>
      </c>
      <c r="E161" s="1" t="s">
        <v>18</v>
      </c>
      <c r="F161" s="1">
        <v>6</v>
      </c>
      <c r="G161" s="1">
        <v>11410.12</v>
      </c>
      <c r="H161" s="1">
        <v>1833.38</v>
      </c>
      <c r="I161" s="4">
        <f t="shared" si="4"/>
        <v>0.16068016813144823</v>
      </c>
      <c r="J161" s="11" t="str">
        <f t="shared" si="5"/>
        <v>High</v>
      </c>
    </row>
    <row r="162" spans="1:10" x14ac:dyDescent="0.3">
      <c r="A162" s="1" t="s">
        <v>182</v>
      </c>
      <c r="B162" s="2">
        <v>46148</v>
      </c>
      <c r="C162" s="3" t="s">
        <v>16</v>
      </c>
      <c r="D162" s="1" t="s">
        <v>13</v>
      </c>
      <c r="E162" s="1" t="s">
        <v>14</v>
      </c>
      <c r="F162" s="1">
        <v>7</v>
      </c>
      <c r="G162" s="1">
        <v>15571.49</v>
      </c>
      <c r="H162" s="1">
        <v>1185.55</v>
      </c>
      <c r="I162" s="4">
        <f t="shared" si="4"/>
        <v>7.6135938179326443E-2</v>
      </c>
      <c r="J162" s="11" t="str">
        <f t="shared" si="5"/>
        <v>High</v>
      </c>
    </row>
    <row r="163" spans="1:10" x14ac:dyDescent="0.3">
      <c r="A163" s="1" t="s">
        <v>183</v>
      </c>
      <c r="B163" s="2">
        <v>46035</v>
      </c>
      <c r="C163" s="3" t="s">
        <v>8</v>
      </c>
      <c r="D163" s="1" t="s">
        <v>32</v>
      </c>
      <c r="E163" s="1" t="s">
        <v>14</v>
      </c>
      <c r="F163" s="1">
        <v>4</v>
      </c>
      <c r="G163" s="1">
        <v>48687.11</v>
      </c>
      <c r="H163" s="1">
        <v>6611.94</v>
      </c>
      <c r="I163" s="4">
        <f t="shared" si="4"/>
        <v>0.13580473353214023</v>
      </c>
      <c r="J163" s="11" t="str">
        <f t="shared" si="5"/>
        <v>High</v>
      </c>
    </row>
    <row r="164" spans="1:10" x14ac:dyDescent="0.3">
      <c r="A164" s="1" t="s">
        <v>184</v>
      </c>
      <c r="B164" s="2">
        <v>46122</v>
      </c>
      <c r="C164" s="3" t="s">
        <v>24</v>
      </c>
      <c r="D164" s="1" t="s">
        <v>9</v>
      </c>
      <c r="E164" s="1" t="s">
        <v>10</v>
      </c>
      <c r="F164" s="1">
        <v>4</v>
      </c>
      <c r="G164" s="1">
        <v>4767.88</v>
      </c>
      <c r="H164" s="1">
        <v>797.21</v>
      </c>
      <c r="I164" s="4">
        <f t="shared" si="4"/>
        <v>0.16720429205433024</v>
      </c>
      <c r="J164" s="11" t="str">
        <f t="shared" si="5"/>
        <v>Medium</v>
      </c>
    </row>
    <row r="165" spans="1:10" x14ac:dyDescent="0.3">
      <c r="A165" s="1" t="s">
        <v>185</v>
      </c>
      <c r="B165" s="2">
        <v>46180</v>
      </c>
      <c r="C165" s="3" t="s">
        <v>8</v>
      </c>
      <c r="D165" s="1" t="s">
        <v>22</v>
      </c>
      <c r="E165" s="1" t="s">
        <v>10</v>
      </c>
      <c r="F165" s="1">
        <v>5</v>
      </c>
      <c r="G165" s="1">
        <v>16457.060000000001</v>
      </c>
      <c r="H165" s="1">
        <v>1393.17</v>
      </c>
      <c r="I165" s="4">
        <f t="shared" si="4"/>
        <v>8.4654853297004451E-2</v>
      </c>
      <c r="J165" s="11" t="str">
        <f t="shared" si="5"/>
        <v>High</v>
      </c>
    </row>
    <row r="166" spans="1:10" x14ac:dyDescent="0.3">
      <c r="A166" s="1" t="s">
        <v>186</v>
      </c>
      <c r="B166" s="2">
        <v>46072</v>
      </c>
      <c r="C166" s="3" t="s">
        <v>12</v>
      </c>
      <c r="D166" s="1" t="s">
        <v>17</v>
      </c>
      <c r="E166" s="1" t="s">
        <v>18</v>
      </c>
      <c r="F166" s="1">
        <v>10</v>
      </c>
      <c r="G166" s="1">
        <v>17045.91</v>
      </c>
      <c r="H166" s="1">
        <v>3952.24</v>
      </c>
      <c r="I166" s="4">
        <f t="shared" si="4"/>
        <v>0.23185855140617309</v>
      </c>
      <c r="J166" s="11" t="str">
        <f t="shared" si="5"/>
        <v>High</v>
      </c>
    </row>
    <row r="167" spans="1:10" x14ac:dyDescent="0.3">
      <c r="A167" s="1" t="s">
        <v>187</v>
      </c>
      <c r="B167" s="2">
        <v>46109</v>
      </c>
      <c r="C167" s="3" t="s">
        <v>12</v>
      </c>
      <c r="D167" s="1" t="s">
        <v>29</v>
      </c>
      <c r="E167" s="1" t="s">
        <v>18</v>
      </c>
      <c r="F167" s="1">
        <v>9</v>
      </c>
      <c r="G167" s="1">
        <v>18301.2</v>
      </c>
      <c r="H167" s="1">
        <v>2235.6</v>
      </c>
      <c r="I167" s="4">
        <f t="shared" si="4"/>
        <v>0.12215592420169168</v>
      </c>
      <c r="J167" s="11" t="str">
        <f t="shared" si="5"/>
        <v>High</v>
      </c>
    </row>
    <row r="168" spans="1:10" x14ac:dyDescent="0.3">
      <c r="A168" s="1" t="s">
        <v>188</v>
      </c>
      <c r="B168" s="2">
        <v>46027</v>
      </c>
      <c r="C168" s="3" t="s">
        <v>24</v>
      </c>
      <c r="D168" s="1" t="s">
        <v>29</v>
      </c>
      <c r="E168" s="1" t="s">
        <v>18</v>
      </c>
      <c r="F168" s="1">
        <v>3</v>
      </c>
      <c r="G168" s="1">
        <v>33138.58</v>
      </c>
      <c r="H168" s="1">
        <v>6014.57</v>
      </c>
      <c r="I168" s="4">
        <f t="shared" si="4"/>
        <v>0.18149751739513278</v>
      </c>
      <c r="J168" s="11" t="str">
        <f t="shared" si="5"/>
        <v>High</v>
      </c>
    </row>
    <row r="169" spans="1:10" x14ac:dyDescent="0.3">
      <c r="A169" s="1" t="s">
        <v>189</v>
      </c>
      <c r="B169" s="2">
        <v>46148</v>
      </c>
      <c r="C169" s="3" t="s">
        <v>12</v>
      </c>
      <c r="D169" s="1" t="s">
        <v>9</v>
      </c>
      <c r="E169" s="1" t="s">
        <v>10</v>
      </c>
      <c r="F169" s="1">
        <v>3</v>
      </c>
      <c r="G169" s="1">
        <v>17215.86</v>
      </c>
      <c r="H169" s="1">
        <v>1284.8399999999999</v>
      </c>
      <c r="I169" s="4">
        <f t="shared" si="4"/>
        <v>7.463118310673994E-2</v>
      </c>
      <c r="J169" s="11" t="str">
        <f t="shared" si="5"/>
        <v>High</v>
      </c>
    </row>
    <row r="170" spans="1:10" x14ac:dyDescent="0.3">
      <c r="A170" s="1" t="s">
        <v>190</v>
      </c>
      <c r="B170" s="2">
        <v>46034</v>
      </c>
      <c r="C170" s="3" t="s">
        <v>8</v>
      </c>
      <c r="D170" s="1" t="s">
        <v>17</v>
      </c>
      <c r="E170" s="1" t="s">
        <v>18</v>
      </c>
      <c r="F170" s="1">
        <v>3</v>
      </c>
      <c r="G170" s="1">
        <v>16592.14</v>
      </c>
      <c r="H170" s="1">
        <v>1929.85</v>
      </c>
      <c r="I170" s="4">
        <f t="shared" si="4"/>
        <v>0.11631109670000374</v>
      </c>
      <c r="J170" s="11" t="str">
        <f t="shared" si="5"/>
        <v>High</v>
      </c>
    </row>
    <row r="171" spans="1:10" x14ac:dyDescent="0.3">
      <c r="A171" s="1" t="s">
        <v>191</v>
      </c>
      <c r="B171" s="2">
        <v>46082</v>
      </c>
      <c r="C171" s="3" t="s">
        <v>8</v>
      </c>
      <c r="D171" s="1" t="s">
        <v>9</v>
      </c>
      <c r="E171" s="1" t="s">
        <v>10</v>
      </c>
      <c r="F171" s="1">
        <v>3</v>
      </c>
      <c r="G171" s="1">
        <v>44563.28</v>
      </c>
      <c r="H171" s="1">
        <v>9697.02</v>
      </c>
      <c r="I171" s="4">
        <f t="shared" si="4"/>
        <v>0.21760112810367641</v>
      </c>
      <c r="J171" s="11" t="str">
        <f t="shared" si="5"/>
        <v>High</v>
      </c>
    </row>
    <row r="172" spans="1:10" x14ac:dyDescent="0.3">
      <c r="A172" s="1" t="s">
        <v>192</v>
      </c>
      <c r="B172" s="2">
        <v>46136</v>
      </c>
      <c r="C172" s="3" t="s">
        <v>16</v>
      </c>
      <c r="D172" s="1" t="s">
        <v>13</v>
      </c>
      <c r="E172" s="1" t="s">
        <v>14</v>
      </c>
      <c r="F172" s="1">
        <v>6</v>
      </c>
      <c r="G172" s="1">
        <v>41349.199999999997</v>
      </c>
      <c r="H172" s="1">
        <v>7731.88</v>
      </c>
      <c r="I172" s="4">
        <f t="shared" si="4"/>
        <v>0.18698983293509913</v>
      </c>
      <c r="J172" s="11" t="str">
        <f t="shared" si="5"/>
        <v>High</v>
      </c>
    </row>
    <row r="173" spans="1:10" x14ac:dyDescent="0.3">
      <c r="A173" s="1" t="s">
        <v>193</v>
      </c>
      <c r="B173" s="2">
        <v>46119</v>
      </c>
      <c r="C173" s="3" t="s">
        <v>16</v>
      </c>
      <c r="D173" s="1" t="s">
        <v>36</v>
      </c>
      <c r="E173" s="1" t="s">
        <v>18</v>
      </c>
      <c r="F173" s="1">
        <v>5</v>
      </c>
      <c r="G173" s="1">
        <v>56387.58</v>
      </c>
      <c r="H173" s="1">
        <v>6194.93</v>
      </c>
      <c r="I173" s="4">
        <f t="shared" si="4"/>
        <v>0.10986337771544727</v>
      </c>
      <c r="J173" s="11" t="str">
        <f t="shared" si="5"/>
        <v>High</v>
      </c>
    </row>
    <row r="174" spans="1:10" x14ac:dyDescent="0.3">
      <c r="A174" s="1" t="s">
        <v>194</v>
      </c>
      <c r="B174" s="2">
        <v>46193</v>
      </c>
      <c r="C174" s="3" t="s">
        <v>8</v>
      </c>
      <c r="D174" s="1" t="s">
        <v>9</v>
      </c>
      <c r="E174" s="1" t="s">
        <v>10</v>
      </c>
      <c r="F174" s="1">
        <v>10</v>
      </c>
      <c r="G174" s="1">
        <v>42293.37</v>
      </c>
      <c r="H174" s="1">
        <v>4418.0600000000004</v>
      </c>
      <c r="I174" s="4">
        <f t="shared" si="4"/>
        <v>0.10446223604314341</v>
      </c>
      <c r="J174" s="11" t="str">
        <f t="shared" si="5"/>
        <v>High</v>
      </c>
    </row>
    <row r="175" spans="1:10" x14ac:dyDescent="0.3">
      <c r="A175" s="1" t="s">
        <v>195</v>
      </c>
      <c r="B175" s="2">
        <v>46157</v>
      </c>
      <c r="C175" s="3" t="s">
        <v>12</v>
      </c>
      <c r="D175" s="1" t="s">
        <v>9</v>
      </c>
      <c r="E175" s="1" t="s">
        <v>10</v>
      </c>
      <c r="F175" s="1">
        <v>8</v>
      </c>
      <c r="G175" s="1">
        <v>9910.9599999999991</v>
      </c>
      <c r="H175" s="1">
        <v>1413.48</v>
      </c>
      <c r="I175" s="4">
        <f t="shared" si="4"/>
        <v>0.14261786951011809</v>
      </c>
      <c r="J175" s="11" t="str">
        <f t="shared" si="5"/>
        <v>High</v>
      </c>
    </row>
    <row r="176" spans="1:10" x14ac:dyDescent="0.3">
      <c r="A176" s="1" t="s">
        <v>196</v>
      </c>
      <c r="B176" s="2">
        <v>46080</v>
      </c>
      <c r="C176" s="3" t="s">
        <v>24</v>
      </c>
      <c r="D176" s="1" t="s">
        <v>17</v>
      </c>
      <c r="E176" s="1" t="s">
        <v>18</v>
      </c>
      <c r="F176" s="1">
        <v>4</v>
      </c>
      <c r="G176" s="1">
        <v>31876.33</v>
      </c>
      <c r="H176" s="1">
        <v>4175.09</v>
      </c>
      <c r="I176" s="4">
        <f t="shared" si="4"/>
        <v>0.13097775057542696</v>
      </c>
      <c r="J176" s="11" t="str">
        <f t="shared" si="5"/>
        <v>High</v>
      </c>
    </row>
    <row r="177" spans="1:10" x14ac:dyDescent="0.3">
      <c r="A177" s="1" t="s">
        <v>197</v>
      </c>
      <c r="B177" s="2">
        <v>46056</v>
      </c>
      <c r="C177" s="3" t="s">
        <v>12</v>
      </c>
      <c r="D177" s="1" t="s">
        <v>32</v>
      </c>
      <c r="E177" s="1" t="s">
        <v>14</v>
      </c>
      <c r="F177" s="1">
        <v>5</v>
      </c>
      <c r="G177" s="1">
        <v>16046.27</v>
      </c>
      <c r="H177" s="1">
        <v>3998.89</v>
      </c>
      <c r="I177" s="4">
        <f t="shared" si="4"/>
        <v>0.24920994100186522</v>
      </c>
      <c r="J177" s="11" t="str">
        <f t="shared" si="5"/>
        <v>High</v>
      </c>
    </row>
    <row r="178" spans="1:10" x14ac:dyDescent="0.3">
      <c r="A178" s="1" t="s">
        <v>198</v>
      </c>
      <c r="B178" s="2">
        <v>46171</v>
      </c>
      <c r="C178" s="3" t="s">
        <v>8</v>
      </c>
      <c r="D178" s="1" t="s">
        <v>29</v>
      </c>
      <c r="E178" s="1" t="s">
        <v>18</v>
      </c>
      <c r="F178" s="1">
        <v>6</v>
      </c>
      <c r="G178" s="1">
        <v>48602.07</v>
      </c>
      <c r="H178" s="1">
        <v>8668.84</v>
      </c>
      <c r="I178" s="4">
        <f t="shared" si="4"/>
        <v>0.17836359644764102</v>
      </c>
      <c r="J178" s="11" t="str">
        <f t="shared" si="5"/>
        <v>High</v>
      </c>
    </row>
    <row r="179" spans="1:10" x14ac:dyDescent="0.3">
      <c r="A179" s="1" t="s">
        <v>199</v>
      </c>
      <c r="B179" s="2">
        <v>46121</v>
      </c>
      <c r="C179" s="3" t="s">
        <v>24</v>
      </c>
      <c r="D179" s="1" t="s">
        <v>22</v>
      </c>
      <c r="E179" s="1" t="s">
        <v>10</v>
      </c>
      <c r="F179" s="1">
        <v>2</v>
      </c>
      <c r="G179" s="1">
        <v>38607.089999999997</v>
      </c>
      <c r="H179" s="1">
        <v>4562.22</v>
      </c>
      <c r="I179" s="4">
        <f t="shared" si="4"/>
        <v>0.11817052256463775</v>
      </c>
      <c r="J179" s="11" t="str">
        <f t="shared" si="5"/>
        <v>High</v>
      </c>
    </row>
    <row r="180" spans="1:10" x14ac:dyDescent="0.3">
      <c r="A180" s="1" t="s">
        <v>200</v>
      </c>
      <c r="B180" s="2">
        <v>46201</v>
      </c>
      <c r="C180" s="3" t="s">
        <v>24</v>
      </c>
      <c r="D180" s="1" t="s">
        <v>20</v>
      </c>
      <c r="E180" s="1" t="s">
        <v>14</v>
      </c>
      <c r="F180" s="1">
        <v>6</v>
      </c>
      <c r="G180" s="1">
        <v>51274.45</v>
      </c>
      <c r="H180" s="1">
        <v>11093.21</v>
      </c>
      <c r="I180" s="4">
        <f t="shared" si="4"/>
        <v>0.21634966342886175</v>
      </c>
      <c r="J180" s="11" t="str">
        <f t="shared" si="5"/>
        <v>High</v>
      </c>
    </row>
    <row r="181" spans="1:10" x14ac:dyDescent="0.3">
      <c r="A181" s="1" t="s">
        <v>201</v>
      </c>
      <c r="B181" s="2">
        <v>46164</v>
      </c>
      <c r="C181" s="3" t="s">
        <v>16</v>
      </c>
      <c r="D181" s="1" t="s">
        <v>13</v>
      </c>
      <c r="E181" s="1" t="s">
        <v>14</v>
      </c>
      <c r="F181" s="1">
        <v>10</v>
      </c>
      <c r="G181" s="1">
        <v>57072.81</v>
      </c>
      <c r="H181" s="1">
        <v>10054</v>
      </c>
      <c r="I181" s="4">
        <f t="shared" si="4"/>
        <v>0.17616094248732453</v>
      </c>
      <c r="J181" s="11" t="str">
        <f t="shared" si="5"/>
        <v>High</v>
      </c>
    </row>
    <row r="182" spans="1:10" x14ac:dyDescent="0.3">
      <c r="A182" s="1" t="s">
        <v>202</v>
      </c>
      <c r="B182" s="2">
        <v>46089</v>
      </c>
      <c r="C182" s="3" t="s">
        <v>12</v>
      </c>
      <c r="D182" s="1" t="s">
        <v>20</v>
      </c>
      <c r="E182" s="1" t="s">
        <v>14</v>
      </c>
      <c r="F182" s="1">
        <v>5</v>
      </c>
      <c r="G182" s="1">
        <v>28223.62</v>
      </c>
      <c r="H182" s="1">
        <v>4599.3599999999997</v>
      </c>
      <c r="I182" s="4">
        <f t="shared" si="4"/>
        <v>0.16296137773963792</v>
      </c>
      <c r="J182" s="11" t="str">
        <f t="shared" si="5"/>
        <v>High</v>
      </c>
    </row>
    <row r="183" spans="1:10" x14ac:dyDescent="0.3">
      <c r="A183" s="1" t="s">
        <v>203</v>
      </c>
      <c r="B183" s="2">
        <v>46157</v>
      </c>
      <c r="C183" s="3" t="s">
        <v>12</v>
      </c>
      <c r="D183" s="1" t="s">
        <v>20</v>
      </c>
      <c r="E183" s="1" t="s">
        <v>14</v>
      </c>
      <c r="F183" s="1">
        <v>3</v>
      </c>
      <c r="G183" s="1">
        <v>36271.620000000003</v>
      </c>
      <c r="H183" s="1">
        <v>7559.58</v>
      </c>
      <c r="I183" s="4">
        <f t="shared" si="4"/>
        <v>0.20841583585183124</v>
      </c>
      <c r="J183" s="11" t="str">
        <f t="shared" si="5"/>
        <v>High</v>
      </c>
    </row>
    <row r="184" spans="1:10" x14ac:dyDescent="0.3">
      <c r="A184" s="1" t="s">
        <v>204</v>
      </c>
      <c r="B184" s="2">
        <v>46080</v>
      </c>
      <c r="C184" s="3" t="s">
        <v>8</v>
      </c>
      <c r="D184" s="1" t="s">
        <v>32</v>
      </c>
      <c r="E184" s="1" t="s">
        <v>14</v>
      </c>
      <c r="F184" s="1">
        <v>2</v>
      </c>
      <c r="G184" s="1">
        <v>16591.32</v>
      </c>
      <c r="H184" s="1">
        <v>2585.58</v>
      </c>
      <c r="I184" s="4">
        <f t="shared" si="4"/>
        <v>0.15583931839058013</v>
      </c>
      <c r="J184" s="11" t="str">
        <f t="shared" si="5"/>
        <v>High</v>
      </c>
    </row>
    <row r="185" spans="1:10" x14ac:dyDescent="0.3">
      <c r="A185" s="1" t="s">
        <v>205</v>
      </c>
      <c r="B185" s="2">
        <v>46198</v>
      </c>
      <c r="C185" s="3" t="s">
        <v>12</v>
      </c>
      <c r="D185" s="1" t="s">
        <v>22</v>
      </c>
      <c r="E185" s="1" t="s">
        <v>10</v>
      </c>
      <c r="F185" s="1">
        <v>3</v>
      </c>
      <c r="G185" s="1">
        <v>43271.55</v>
      </c>
      <c r="H185" s="1">
        <v>4191.32</v>
      </c>
      <c r="I185" s="4">
        <f t="shared" si="4"/>
        <v>9.6860870479564501E-2</v>
      </c>
      <c r="J185" s="11" t="str">
        <f t="shared" si="5"/>
        <v>High</v>
      </c>
    </row>
    <row r="186" spans="1:10" x14ac:dyDescent="0.3">
      <c r="A186" s="1" t="s">
        <v>206</v>
      </c>
      <c r="B186" s="2">
        <v>46126</v>
      </c>
      <c r="C186" s="3" t="s">
        <v>16</v>
      </c>
      <c r="D186" s="1" t="s">
        <v>20</v>
      </c>
      <c r="E186" s="1" t="s">
        <v>14</v>
      </c>
      <c r="F186" s="1">
        <v>2</v>
      </c>
      <c r="G186" s="1">
        <v>40194.129999999997</v>
      </c>
      <c r="H186" s="1">
        <v>2120.71</v>
      </c>
      <c r="I186" s="4">
        <f t="shared" si="4"/>
        <v>5.2761684355402148E-2</v>
      </c>
      <c r="J186" s="11" t="str">
        <f t="shared" si="5"/>
        <v>High</v>
      </c>
    </row>
    <row r="187" spans="1:10" x14ac:dyDescent="0.3">
      <c r="A187" s="1" t="s">
        <v>207</v>
      </c>
      <c r="B187" s="2">
        <v>46115</v>
      </c>
      <c r="C187" s="3" t="s">
        <v>12</v>
      </c>
      <c r="D187" s="1" t="s">
        <v>20</v>
      </c>
      <c r="E187" s="1" t="s">
        <v>14</v>
      </c>
      <c r="F187" s="1">
        <v>10</v>
      </c>
      <c r="G187" s="1">
        <v>59812.88</v>
      </c>
      <c r="H187" s="1">
        <v>14277.82</v>
      </c>
      <c r="I187" s="4">
        <f t="shared" si="4"/>
        <v>0.2387081177164517</v>
      </c>
      <c r="J187" s="11" t="str">
        <f t="shared" si="5"/>
        <v>High</v>
      </c>
    </row>
    <row r="188" spans="1:10" x14ac:dyDescent="0.3">
      <c r="A188" s="1" t="s">
        <v>208</v>
      </c>
      <c r="B188" s="2">
        <v>46193</v>
      </c>
      <c r="C188" s="3" t="s">
        <v>12</v>
      </c>
      <c r="D188" s="1" t="s">
        <v>36</v>
      </c>
      <c r="E188" s="1" t="s">
        <v>18</v>
      </c>
      <c r="F188" s="1">
        <v>10</v>
      </c>
      <c r="G188" s="1">
        <v>29326.02</v>
      </c>
      <c r="H188" s="1">
        <v>6366.2</v>
      </c>
      <c r="I188" s="4">
        <f t="shared" si="4"/>
        <v>0.21708366836004339</v>
      </c>
      <c r="J188" s="11" t="str">
        <f t="shared" si="5"/>
        <v>High</v>
      </c>
    </row>
    <row r="189" spans="1:10" x14ac:dyDescent="0.3">
      <c r="A189" s="1" t="s">
        <v>209</v>
      </c>
      <c r="B189" s="2">
        <v>46157</v>
      </c>
      <c r="C189" s="3" t="s">
        <v>12</v>
      </c>
      <c r="D189" s="1" t="s">
        <v>36</v>
      </c>
      <c r="E189" s="1" t="s">
        <v>18</v>
      </c>
      <c r="F189" s="1">
        <v>5</v>
      </c>
      <c r="G189" s="1">
        <v>9894.2999999999993</v>
      </c>
      <c r="H189" s="1">
        <v>1764.5</v>
      </c>
      <c r="I189" s="4">
        <f t="shared" si="4"/>
        <v>0.17833500096014879</v>
      </c>
      <c r="J189" s="11" t="str">
        <f t="shared" si="5"/>
        <v>High</v>
      </c>
    </row>
    <row r="190" spans="1:10" x14ac:dyDescent="0.3">
      <c r="A190" s="1" t="s">
        <v>210</v>
      </c>
      <c r="B190" s="2">
        <v>46066</v>
      </c>
      <c r="C190" s="3" t="s">
        <v>24</v>
      </c>
      <c r="D190" s="1" t="s">
        <v>17</v>
      </c>
      <c r="E190" s="1" t="s">
        <v>18</v>
      </c>
      <c r="F190" s="1">
        <v>9</v>
      </c>
      <c r="G190" s="1">
        <v>6739.82</v>
      </c>
      <c r="H190" s="1">
        <v>503.13</v>
      </c>
      <c r="I190" s="4">
        <f t="shared" si="4"/>
        <v>7.46503615823568E-2</v>
      </c>
      <c r="J190" s="11" t="str">
        <f t="shared" si="5"/>
        <v>High</v>
      </c>
    </row>
    <row r="191" spans="1:10" x14ac:dyDescent="0.3">
      <c r="A191" s="1" t="s">
        <v>211</v>
      </c>
      <c r="B191" s="2">
        <v>46139</v>
      </c>
      <c r="C191" s="3" t="s">
        <v>8</v>
      </c>
      <c r="D191" s="1" t="s">
        <v>29</v>
      </c>
      <c r="E191" s="1" t="s">
        <v>18</v>
      </c>
      <c r="F191" s="1">
        <v>8</v>
      </c>
      <c r="G191" s="1">
        <v>20765.32</v>
      </c>
      <c r="H191" s="1">
        <v>4321.3999999999996</v>
      </c>
      <c r="I191" s="4">
        <f t="shared" si="4"/>
        <v>0.20810659310812449</v>
      </c>
      <c r="J191" s="11" t="str">
        <f t="shared" si="5"/>
        <v>High</v>
      </c>
    </row>
    <row r="192" spans="1:10" x14ac:dyDescent="0.3">
      <c r="A192" s="1" t="s">
        <v>212</v>
      </c>
      <c r="B192" s="2">
        <v>46163</v>
      </c>
      <c r="C192" s="3" t="s">
        <v>16</v>
      </c>
      <c r="D192" s="1" t="s">
        <v>22</v>
      </c>
      <c r="E192" s="1" t="s">
        <v>10</v>
      </c>
      <c r="F192" s="1">
        <v>10</v>
      </c>
      <c r="G192" s="1">
        <v>19116.87</v>
      </c>
      <c r="H192" s="1">
        <v>4410.1400000000003</v>
      </c>
      <c r="I192" s="4">
        <f t="shared" si="4"/>
        <v>0.23069362296233645</v>
      </c>
      <c r="J192" s="11" t="str">
        <f t="shared" si="5"/>
        <v>High</v>
      </c>
    </row>
    <row r="193" spans="1:10" x14ac:dyDescent="0.3">
      <c r="A193" s="1" t="s">
        <v>213</v>
      </c>
      <c r="B193" s="2">
        <v>46158</v>
      </c>
      <c r="C193" s="3" t="s">
        <v>8</v>
      </c>
      <c r="D193" s="1" t="s">
        <v>22</v>
      </c>
      <c r="E193" s="1" t="s">
        <v>10</v>
      </c>
      <c r="F193" s="1">
        <v>3</v>
      </c>
      <c r="G193" s="1">
        <v>42517.62</v>
      </c>
      <c r="H193" s="1">
        <v>8951.5300000000007</v>
      </c>
      <c r="I193" s="4">
        <f t="shared" si="4"/>
        <v>0.21053694915190455</v>
      </c>
      <c r="J193" s="11" t="str">
        <f t="shared" si="5"/>
        <v>High</v>
      </c>
    </row>
    <row r="194" spans="1:10" x14ac:dyDescent="0.3">
      <c r="A194" s="1" t="s">
        <v>214</v>
      </c>
      <c r="B194" s="2">
        <v>46040</v>
      </c>
      <c r="C194" s="3" t="s">
        <v>16</v>
      </c>
      <c r="D194" s="1" t="s">
        <v>9</v>
      </c>
      <c r="E194" s="1" t="s">
        <v>10</v>
      </c>
      <c r="F194" s="1">
        <v>10</v>
      </c>
      <c r="G194" s="1">
        <v>39936.35</v>
      </c>
      <c r="H194" s="1">
        <v>4705.41</v>
      </c>
      <c r="I194" s="4">
        <f t="shared" si="4"/>
        <v>0.1178227354277494</v>
      </c>
      <c r="J194" s="11" t="str">
        <f t="shared" si="5"/>
        <v>High</v>
      </c>
    </row>
    <row r="195" spans="1:10" x14ac:dyDescent="0.3">
      <c r="A195" s="1" t="s">
        <v>215</v>
      </c>
      <c r="B195" s="2">
        <v>46138</v>
      </c>
      <c r="C195" s="3" t="s">
        <v>24</v>
      </c>
      <c r="D195" s="1" t="s">
        <v>13</v>
      </c>
      <c r="E195" s="1" t="s">
        <v>14</v>
      </c>
      <c r="F195" s="1">
        <v>10</v>
      </c>
      <c r="G195" s="1">
        <v>53212</v>
      </c>
      <c r="H195" s="1">
        <v>3778.5</v>
      </c>
      <c r="I195" s="4">
        <f t="shared" ref="I195:I251" si="6">H195/G195</f>
        <v>7.1008419153574379E-2</v>
      </c>
      <c r="J195" s="11" t="str">
        <f t="shared" ref="J195:J251" si="7">IF(G195&gt;5000,"High","Medium")</f>
        <v>High</v>
      </c>
    </row>
    <row r="196" spans="1:10" x14ac:dyDescent="0.3">
      <c r="A196" s="1" t="s">
        <v>216</v>
      </c>
      <c r="B196" s="2">
        <v>46088</v>
      </c>
      <c r="C196" s="3" t="s">
        <v>12</v>
      </c>
      <c r="D196" s="1" t="s">
        <v>32</v>
      </c>
      <c r="E196" s="1" t="s">
        <v>14</v>
      </c>
      <c r="F196" s="1">
        <v>5</v>
      </c>
      <c r="G196" s="1">
        <v>28307.57</v>
      </c>
      <c r="H196" s="1">
        <v>5867.28</v>
      </c>
      <c r="I196" s="4">
        <f t="shared" si="6"/>
        <v>0.20726893901525281</v>
      </c>
      <c r="J196" s="11" t="str">
        <f t="shared" si="7"/>
        <v>High</v>
      </c>
    </row>
    <row r="197" spans="1:10" x14ac:dyDescent="0.3">
      <c r="A197" s="1" t="s">
        <v>217</v>
      </c>
      <c r="B197" s="2">
        <v>46128</v>
      </c>
      <c r="C197" s="3" t="s">
        <v>24</v>
      </c>
      <c r="D197" s="1" t="s">
        <v>36</v>
      </c>
      <c r="E197" s="1" t="s">
        <v>18</v>
      </c>
      <c r="F197" s="1">
        <v>5</v>
      </c>
      <c r="G197" s="1">
        <v>33186.04</v>
      </c>
      <c r="H197" s="1">
        <v>8108.51</v>
      </c>
      <c r="I197" s="4">
        <f t="shared" si="6"/>
        <v>0.24433496735374272</v>
      </c>
      <c r="J197" s="11" t="str">
        <f t="shared" si="7"/>
        <v>High</v>
      </c>
    </row>
    <row r="198" spans="1:10" x14ac:dyDescent="0.3">
      <c r="A198" s="1" t="s">
        <v>218</v>
      </c>
      <c r="B198" s="2">
        <v>46050</v>
      </c>
      <c r="C198" s="3" t="s">
        <v>8</v>
      </c>
      <c r="D198" s="1" t="s">
        <v>17</v>
      </c>
      <c r="E198" s="1" t="s">
        <v>18</v>
      </c>
      <c r="F198" s="1">
        <v>9</v>
      </c>
      <c r="G198" s="1">
        <v>10515.27</v>
      </c>
      <c r="H198" s="1">
        <v>2021.52</v>
      </c>
      <c r="I198" s="4">
        <f t="shared" si="6"/>
        <v>0.19224613348016739</v>
      </c>
      <c r="J198" s="11" t="str">
        <f t="shared" si="7"/>
        <v>High</v>
      </c>
    </row>
    <row r="199" spans="1:10" x14ac:dyDescent="0.3">
      <c r="A199" s="1" t="s">
        <v>219</v>
      </c>
      <c r="B199" s="2">
        <v>46106</v>
      </c>
      <c r="C199" s="3" t="s">
        <v>24</v>
      </c>
      <c r="D199" s="1" t="s">
        <v>9</v>
      </c>
      <c r="E199" s="1" t="s">
        <v>10</v>
      </c>
      <c r="F199" s="1">
        <v>7</v>
      </c>
      <c r="G199" s="1">
        <v>39385.96</v>
      </c>
      <c r="H199" s="1">
        <v>8423.0300000000007</v>
      </c>
      <c r="I199" s="4">
        <f t="shared" si="6"/>
        <v>0.21385869482424705</v>
      </c>
      <c r="J199" s="11" t="str">
        <f t="shared" si="7"/>
        <v>High</v>
      </c>
    </row>
    <row r="200" spans="1:10" x14ac:dyDescent="0.3">
      <c r="A200" s="1" t="s">
        <v>220</v>
      </c>
      <c r="B200" s="2">
        <v>46042</v>
      </c>
      <c r="C200" s="3" t="s">
        <v>24</v>
      </c>
      <c r="D200" s="1" t="s">
        <v>36</v>
      </c>
      <c r="E200" s="1" t="s">
        <v>18</v>
      </c>
      <c r="F200" s="1">
        <v>2</v>
      </c>
      <c r="G200" s="1">
        <v>17197.78</v>
      </c>
      <c r="H200" s="1">
        <v>1214.03</v>
      </c>
      <c r="I200" s="4">
        <f t="shared" si="6"/>
        <v>7.0592250860285463E-2</v>
      </c>
      <c r="J200" s="11" t="str">
        <f t="shared" si="7"/>
        <v>High</v>
      </c>
    </row>
    <row r="201" spans="1:10" x14ac:dyDescent="0.3">
      <c r="A201" s="1" t="s">
        <v>221</v>
      </c>
      <c r="B201" s="2">
        <v>46092</v>
      </c>
      <c r="C201" s="3" t="s">
        <v>16</v>
      </c>
      <c r="D201" s="1" t="s">
        <v>9</v>
      </c>
      <c r="E201" s="1" t="s">
        <v>10</v>
      </c>
      <c r="F201" s="1">
        <v>3</v>
      </c>
      <c r="G201" s="1">
        <v>48291.41</v>
      </c>
      <c r="H201" s="1">
        <v>11865.86</v>
      </c>
      <c r="I201" s="4">
        <f t="shared" si="6"/>
        <v>0.24571367868529828</v>
      </c>
      <c r="J201" s="11" t="str">
        <f t="shared" si="7"/>
        <v>High</v>
      </c>
    </row>
    <row r="202" spans="1:10" x14ac:dyDescent="0.3">
      <c r="A202" s="1" t="s">
        <v>222</v>
      </c>
      <c r="B202" s="2">
        <v>46110</v>
      </c>
      <c r="C202" s="3" t="s">
        <v>24</v>
      </c>
      <c r="D202" s="1" t="s">
        <v>29</v>
      </c>
      <c r="E202" s="1" t="s">
        <v>18</v>
      </c>
      <c r="F202" s="1">
        <v>8</v>
      </c>
      <c r="G202" s="1">
        <v>43507.39</v>
      </c>
      <c r="H202" s="1">
        <v>8175.9</v>
      </c>
      <c r="I202" s="4">
        <f t="shared" si="6"/>
        <v>0.18791979937201472</v>
      </c>
      <c r="J202" s="11" t="str">
        <f t="shared" si="7"/>
        <v>High</v>
      </c>
    </row>
    <row r="203" spans="1:10" x14ac:dyDescent="0.3">
      <c r="A203" s="1" t="s">
        <v>223</v>
      </c>
      <c r="B203" s="2">
        <v>46085</v>
      </c>
      <c r="C203" s="3" t="s">
        <v>16</v>
      </c>
      <c r="D203" s="1" t="s">
        <v>32</v>
      </c>
      <c r="E203" s="1" t="s">
        <v>14</v>
      </c>
      <c r="F203" s="1">
        <v>10</v>
      </c>
      <c r="G203" s="1">
        <v>7704.28</v>
      </c>
      <c r="H203" s="1">
        <v>1232.7</v>
      </c>
      <c r="I203" s="4">
        <f t="shared" si="6"/>
        <v>0.1600019729293328</v>
      </c>
      <c r="J203" s="11" t="str">
        <f t="shared" si="7"/>
        <v>High</v>
      </c>
    </row>
    <row r="204" spans="1:10" x14ac:dyDescent="0.3">
      <c r="A204" s="1" t="s">
        <v>224</v>
      </c>
      <c r="B204" s="2">
        <v>46101</v>
      </c>
      <c r="C204" s="3" t="s">
        <v>24</v>
      </c>
      <c r="D204" s="1" t="s">
        <v>36</v>
      </c>
      <c r="E204" s="1" t="s">
        <v>18</v>
      </c>
      <c r="F204" s="1">
        <v>2</v>
      </c>
      <c r="G204" s="1">
        <v>25473.08</v>
      </c>
      <c r="H204" s="1">
        <v>2418.06</v>
      </c>
      <c r="I204" s="4">
        <f t="shared" si="6"/>
        <v>9.4926094528027222E-2</v>
      </c>
      <c r="J204" s="11" t="str">
        <f t="shared" si="7"/>
        <v>High</v>
      </c>
    </row>
    <row r="205" spans="1:10" x14ac:dyDescent="0.3">
      <c r="A205" s="1" t="s">
        <v>225</v>
      </c>
      <c r="B205" s="2">
        <v>46141</v>
      </c>
      <c r="C205" s="3" t="s">
        <v>16</v>
      </c>
      <c r="D205" s="1" t="s">
        <v>22</v>
      </c>
      <c r="E205" s="1" t="s">
        <v>10</v>
      </c>
      <c r="F205" s="1">
        <v>1</v>
      </c>
      <c r="G205" s="1">
        <v>9000.9500000000007</v>
      </c>
      <c r="H205" s="1">
        <v>693.36</v>
      </c>
      <c r="I205" s="4">
        <f t="shared" si="6"/>
        <v>7.7031868858287181E-2</v>
      </c>
      <c r="J205" s="11" t="str">
        <f t="shared" si="7"/>
        <v>High</v>
      </c>
    </row>
    <row r="206" spans="1:10" x14ac:dyDescent="0.3">
      <c r="A206" s="1" t="s">
        <v>226</v>
      </c>
      <c r="B206" s="2">
        <v>46109</v>
      </c>
      <c r="C206" s="3" t="s">
        <v>16</v>
      </c>
      <c r="D206" s="1" t="s">
        <v>22</v>
      </c>
      <c r="E206" s="1" t="s">
        <v>10</v>
      </c>
      <c r="F206" s="1">
        <v>4</v>
      </c>
      <c r="G206" s="1">
        <v>58554.03</v>
      </c>
      <c r="H206" s="1">
        <v>14457.2</v>
      </c>
      <c r="I206" s="4">
        <f t="shared" si="6"/>
        <v>0.24690358631165099</v>
      </c>
      <c r="J206" s="11" t="str">
        <f t="shared" si="7"/>
        <v>High</v>
      </c>
    </row>
    <row r="207" spans="1:10" x14ac:dyDescent="0.3">
      <c r="A207" s="1" t="s">
        <v>227</v>
      </c>
      <c r="B207" s="2">
        <v>46160</v>
      </c>
      <c r="C207" s="3" t="s">
        <v>16</v>
      </c>
      <c r="D207" s="1" t="s">
        <v>13</v>
      </c>
      <c r="E207" s="1" t="s">
        <v>14</v>
      </c>
      <c r="F207" s="1">
        <v>1</v>
      </c>
      <c r="G207" s="1">
        <v>18887.41</v>
      </c>
      <c r="H207" s="1">
        <v>1448.23</v>
      </c>
      <c r="I207" s="4">
        <f t="shared" si="6"/>
        <v>7.6677003358321769E-2</v>
      </c>
      <c r="J207" s="11" t="str">
        <f t="shared" si="7"/>
        <v>High</v>
      </c>
    </row>
    <row r="208" spans="1:10" x14ac:dyDescent="0.3">
      <c r="A208" s="1" t="s">
        <v>228</v>
      </c>
      <c r="B208" s="2">
        <v>46195</v>
      </c>
      <c r="C208" s="3" t="s">
        <v>12</v>
      </c>
      <c r="D208" s="1" t="s">
        <v>13</v>
      </c>
      <c r="E208" s="1" t="s">
        <v>14</v>
      </c>
      <c r="F208" s="1">
        <v>7</v>
      </c>
      <c r="G208" s="1">
        <v>23234.25</v>
      </c>
      <c r="H208" s="1">
        <v>5413.26</v>
      </c>
      <c r="I208" s="4">
        <f t="shared" si="6"/>
        <v>0.2329862164692211</v>
      </c>
      <c r="J208" s="11" t="str">
        <f t="shared" si="7"/>
        <v>High</v>
      </c>
    </row>
    <row r="209" spans="1:10" x14ac:dyDescent="0.3">
      <c r="A209" s="1" t="s">
        <v>229</v>
      </c>
      <c r="B209" s="2">
        <v>46023</v>
      </c>
      <c r="C209" s="3" t="s">
        <v>8</v>
      </c>
      <c r="D209" s="1" t="s">
        <v>32</v>
      </c>
      <c r="E209" s="1" t="s">
        <v>14</v>
      </c>
      <c r="F209" s="1">
        <v>8</v>
      </c>
      <c r="G209" s="1">
        <v>19972.66</v>
      </c>
      <c r="H209" s="1">
        <v>4239.96</v>
      </c>
      <c r="I209" s="4">
        <f t="shared" si="6"/>
        <v>0.21228819796662038</v>
      </c>
      <c r="J209" s="11" t="str">
        <f t="shared" si="7"/>
        <v>High</v>
      </c>
    </row>
    <row r="210" spans="1:10" x14ac:dyDescent="0.3">
      <c r="A210" s="1" t="s">
        <v>230</v>
      </c>
      <c r="B210" s="2">
        <v>46045</v>
      </c>
      <c r="C210" s="3" t="s">
        <v>16</v>
      </c>
      <c r="D210" s="1" t="s">
        <v>22</v>
      </c>
      <c r="E210" s="1" t="s">
        <v>10</v>
      </c>
      <c r="F210" s="1">
        <v>9</v>
      </c>
      <c r="G210" s="1">
        <v>37967.599999999999</v>
      </c>
      <c r="H210" s="1">
        <v>5914.07</v>
      </c>
      <c r="I210" s="4">
        <f t="shared" si="6"/>
        <v>0.15576623226119113</v>
      </c>
      <c r="J210" s="11" t="str">
        <f t="shared" si="7"/>
        <v>High</v>
      </c>
    </row>
    <row r="211" spans="1:10" x14ac:dyDescent="0.3">
      <c r="A211" s="1" t="s">
        <v>231</v>
      </c>
      <c r="B211" s="2">
        <v>46089</v>
      </c>
      <c r="C211" s="3" t="s">
        <v>16</v>
      </c>
      <c r="D211" s="1" t="s">
        <v>9</v>
      </c>
      <c r="E211" s="1" t="s">
        <v>10</v>
      </c>
      <c r="F211" s="1">
        <v>5</v>
      </c>
      <c r="G211" s="1">
        <v>17408.009999999998</v>
      </c>
      <c r="H211" s="1">
        <v>1441.83</v>
      </c>
      <c r="I211" s="4">
        <f t="shared" si="6"/>
        <v>8.282566473709517E-2</v>
      </c>
      <c r="J211" s="11" t="str">
        <f t="shared" si="7"/>
        <v>High</v>
      </c>
    </row>
    <row r="212" spans="1:10" x14ac:dyDescent="0.3">
      <c r="A212" s="1" t="s">
        <v>232</v>
      </c>
      <c r="B212" s="2">
        <v>46146</v>
      </c>
      <c r="C212" s="3" t="s">
        <v>8</v>
      </c>
      <c r="D212" s="1" t="s">
        <v>13</v>
      </c>
      <c r="E212" s="1" t="s">
        <v>14</v>
      </c>
      <c r="F212" s="1">
        <v>1</v>
      </c>
      <c r="G212" s="1">
        <v>49062.99</v>
      </c>
      <c r="H212" s="1">
        <v>9386.32</v>
      </c>
      <c r="I212" s="4">
        <f t="shared" si="6"/>
        <v>0.19131161798333124</v>
      </c>
      <c r="J212" s="11" t="str">
        <f t="shared" si="7"/>
        <v>High</v>
      </c>
    </row>
    <row r="213" spans="1:10" x14ac:dyDescent="0.3">
      <c r="A213" s="1" t="s">
        <v>233</v>
      </c>
      <c r="B213" s="2">
        <v>46159</v>
      </c>
      <c r="C213" s="3" t="s">
        <v>12</v>
      </c>
      <c r="D213" s="1" t="s">
        <v>32</v>
      </c>
      <c r="E213" s="1" t="s">
        <v>14</v>
      </c>
      <c r="F213" s="1">
        <v>5</v>
      </c>
      <c r="G213" s="1">
        <v>26882.73</v>
      </c>
      <c r="H213" s="1">
        <v>5557.2</v>
      </c>
      <c r="I213" s="4">
        <f t="shared" si="6"/>
        <v>0.20672007642080995</v>
      </c>
      <c r="J213" s="11" t="str">
        <f t="shared" si="7"/>
        <v>High</v>
      </c>
    </row>
    <row r="214" spans="1:10" x14ac:dyDescent="0.3">
      <c r="A214" s="1" t="s">
        <v>234</v>
      </c>
      <c r="B214" s="2">
        <v>46173</v>
      </c>
      <c r="C214" s="3" t="s">
        <v>16</v>
      </c>
      <c r="D214" s="1" t="s">
        <v>13</v>
      </c>
      <c r="E214" s="1" t="s">
        <v>14</v>
      </c>
      <c r="F214" s="1">
        <v>3</v>
      </c>
      <c r="G214" s="1">
        <v>6783.04</v>
      </c>
      <c r="H214" s="1">
        <v>1259.55</v>
      </c>
      <c r="I214" s="4">
        <f t="shared" si="6"/>
        <v>0.18569107656743877</v>
      </c>
      <c r="J214" s="11" t="str">
        <f t="shared" si="7"/>
        <v>High</v>
      </c>
    </row>
    <row r="215" spans="1:10" x14ac:dyDescent="0.3">
      <c r="A215" s="1" t="s">
        <v>235</v>
      </c>
      <c r="B215" s="2">
        <v>46049</v>
      </c>
      <c r="C215" s="3" t="s">
        <v>8</v>
      </c>
      <c r="D215" s="1" t="s">
        <v>13</v>
      </c>
      <c r="E215" s="1" t="s">
        <v>14</v>
      </c>
      <c r="F215" s="1">
        <v>1</v>
      </c>
      <c r="G215" s="1">
        <v>29512.27</v>
      </c>
      <c r="H215" s="1">
        <v>2866.7</v>
      </c>
      <c r="I215" s="4">
        <f t="shared" si="6"/>
        <v>9.7135869250315199E-2</v>
      </c>
      <c r="J215" s="11" t="str">
        <f t="shared" si="7"/>
        <v>High</v>
      </c>
    </row>
    <row r="216" spans="1:10" x14ac:dyDescent="0.3">
      <c r="A216" s="1" t="s">
        <v>236</v>
      </c>
      <c r="B216" s="2">
        <v>46172</v>
      </c>
      <c r="C216" s="3" t="s">
        <v>12</v>
      </c>
      <c r="D216" s="1" t="s">
        <v>9</v>
      </c>
      <c r="E216" s="1" t="s">
        <v>10</v>
      </c>
      <c r="F216" s="1">
        <v>4</v>
      </c>
      <c r="G216" s="1">
        <v>34355.410000000003</v>
      </c>
      <c r="H216" s="1">
        <v>8420.77</v>
      </c>
      <c r="I216" s="4">
        <f t="shared" si="6"/>
        <v>0.24510753910373939</v>
      </c>
      <c r="J216" s="11" t="str">
        <f t="shared" si="7"/>
        <v>High</v>
      </c>
    </row>
    <row r="217" spans="1:10" x14ac:dyDescent="0.3">
      <c r="A217" s="1" t="s">
        <v>237</v>
      </c>
      <c r="B217" s="2">
        <v>46162</v>
      </c>
      <c r="C217" s="3" t="s">
        <v>16</v>
      </c>
      <c r="D217" s="1" t="s">
        <v>32</v>
      </c>
      <c r="E217" s="1" t="s">
        <v>14</v>
      </c>
      <c r="F217" s="1">
        <v>6</v>
      </c>
      <c r="G217" s="1">
        <v>15162.83</v>
      </c>
      <c r="H217" s="1">
        <v>1861.69</v>
      </c>
      <c r="I217" s="4">
        <f t="shared" si="6"/>
        <v>0.12277985046327104</v>
      </c>
      <c r="J217" s="11" t="str">
        <f t="shared" si="7"/>
        <v>High</v>
      </c>
    </row>
    <row r="218" spans="1:10" x14ac:dyDescent="0.3">
      <c r="A218" s="1" t="s">
        <v>238</v>
      </c>
      <c r="B218" s="2">
        <v>46064</v>
      </c>
      <c r="C218" s="3" t="s">
        <v>16</v>
      </c>
      <c r="D218" s="1" t="s">
        <v>20</v>
      </c>
      <c r="E218" s="1" t="s">
        <v>14</v>
      </c>
      <c r="F218" s="1">
        <v>3</v>
      </c>
      <c r="G218" s="1">
        <v>41662.339999999997</v>
      </c>
      <c r="H218" s="1">
        <v>9806.92</v>
      </c>
      <c r="I218" s="4">
        <f t="shared" si="6"/>
        <v>0.23539052295190335</v>
      </c>
      <c r="J218" s="11" t="str">
        <f t="shared" si="7"/>
        <v>High</v>
      </c>
    </row>
    <row r="219" spans="1:10" x14ac:dyDescent="0.3">
      <c r="A219" s="1" t="s">
        <v>239</v>
      </c>
      <c r="B219" s="2">
        <v>46091</v>
      </c>
      <c r="C219" s="3" t="s">
        <v>24</v>
      </c>
      <c r="D219" s="1" t="s">
        <v>29</v>
      </c>
      <c r="E219" s="1" t="s">
        <v>18</v>
      </c>
      <c r="F219" s="1">
        <v>6</v>
      </c>
      <c r="G219" s="1">
        <v>9816.6200000000008</v>
      </c>
      <c r="H219" s="1">
        <v>923</v>
      </c>
      <c r="I219" s="4">
        <f t="shared" si="6"/>
        <v>9.4024216074371822E-2</v>
      </c>
      <c r="J219" s="11" t="str">
        <f t="shared" si="7"/>
        <v>High</v>
      </c>
    </row>
    <row r="220" spans="1:10" x14ac:dyDescent="0.3">
      <c r="A220" s="1" t="s">
        <v>240</v>
      </c>
      <c r="B220" s="2">
        <v>46131</v>
      </c>
      <c r="C220" s="3" t="s">
        <v>12</v>
      </c>
      <c r="D220" s="1" t="s">
        <v>9</v>
      </c>
      <c r="E220" s="1" t="s">
        <v>10</v>
      </c>
      <c r="F220" s="1">
        <v>2</v>
      </c>
      <c r="G220" s="1">
        <v>13283.05</v>
      </c>
      <c r="H220" s="1">
        <v>2449.0300000000002</v>
      </c>
      <c r="I220" s="4">
        <f t="shared" si="6"/>
        <v>0.18437256503589164</v>
      </c>
      <c r="J220" s="11" t="str">
        <f t="shared" si="7"/>
        <v>High</v>
      </c>
    </row>
    <row r="221" spans="1:10" x14ac:dyDescent="0.3">
      <c r="A221" s="1" t="s">
        <v>241</v>
      </c>
      <c r="B221" s="2">
        <v>46140</v>
      </c>
      <c r="C221" s="3" t="s">
        <v>24</v>
      </c>
      <c r="D221" s="1" t="s">
        <v>32</v>
      </c>
      <c r="E221" s="1" t="s">
        <v>14</v>
      </c>
      <c r="F221" s="1">
        <v>7</v>
      </c>
      <c r="G221" s="1">
        <v>4018.21</v>
      </c>
      <c r="H221" s="1">
        <v>649.65</v>
      </c>
      <c r="I221" s="4">
        <f t="shared" si="6"/>
        <v>0.16167646787997639</v>
      </c>
      <c r="J221" s="11" t="str">
        <f t="shared" si="7"/>
        <v>Medium</v>
      </c>
    </row>
    <row r="222" spans="1:10" x14ac:dyDescent="0.3">
      <c r="A222" s="1" t="s">
        <v>242</v>
      </c>
      <c r="B222" s="2">
        <v>46027</v>
      </c>
      <c r="C222" s="3" t="s">
        <v>12</v>
      </c>
      <c r="D222" s="1" t="s">
        <v>32</v>
      </c>
      <c r="E222" s="1" t="s">
        <v>14</v>
      </c>
      <c r="F222" s="1">
        <v>3</v>
      </c>
      <c r="G222" s="1">
        <v>59311.95</v>
      </c>
      <c r="H222" s="1">
        <v>9954.2800000000007</v>
      </c>
      <c r="I222" s="4">
        <f t="shared" si="6"/>
        <v>0.16782924857469703</v>
      </c>
      <c r="J222" s="11" t="str">
        <f t="shared" si="7"/>
        <v>High</v>
      </c>
    </row>
    <row r="223" spans="1:10" x14ac:dyDescent="0.3">
      <c r="A223" s="1" t="s">
        <v>243</v>
      </c>
      <c r="B223" s="2">
        <v>46036</v>
      </c>
      <c r="C223" s="3" t="s">
        <v>8</v>
      </c>
      <c r="D223" s="1" t="s">
        <v>32</v>
      </c>
      <c r="E223" s="1" t="s">
        <v>14</v>
      </c>
      <c r="F223" s="1">
        <v>3</v>
      </c>
      <c r="G223" s="1">
        <v>31086.49</v>
      </c>
      <c r="H223" s="1">
        <v>3984.56</v>
      </c>
      <c r="I223" s="4">
        <f t="shared" si="6"/>
        <v>0.12817658088771039</v>
      </c>
      <c r="J223" s="11" t="str">
        <f t="shared" si="7"/>
        <v>High</v>
      </c>
    </row>
    <row r="224" spans="1:10" x14ac:dyDescent="0.3">
      <c r="A224" s="1" t="s">
        <v>244</v>
      </c>
      <c r="B224" s="2">
        <v>46041</v>
      </c>
      <c r="C224" s="3" t="s">
        <v>16</v>
      </c>
      <c r="D224" s="1" t="s">
        <v>13</v>
      </c>
      <c r="E224" s="1" t="s">
        <v>14</v>
      </c>
      <c r="F224" s="1">
        <v>5</v>
      </c>
      <c r="G224" s="1">
        <v>54961.45</v>
      </c>
      <c r="H224" s="1">
        <v>11321.78</v>
      </c>
      <c r="I224" s="4">
        <f t="shared" si="6"/>
        <v>0.20599492917308407</v>
      </c>
      <c r="J224" s="11" t="str">
        <f t="shared" si="7"/>
        <v>High</v>
      </c>
    </row>
    <row r="225" spans="1:10" x14ac:dyDescent="0.3">
      <c r="A225" s="1" t="s">
        <v>245</v>
      </c>
      <c r="B225" s="2">
        <v>46124</v>
      </c>
      <c r="C225" s="3" t="s">
        <v>12</v>
      </c>
      <c r="D225" s="1" t="s">
        <v>20</v>
      </c>
      <c r="E225" s="1" t="s">
        <v>14</v>
      </c>
      <c r="F225" s="1">
        <v>4</v>
      </c>
      <c r="G225" s="1">
        <v>1182.28</v>
      </c>
      <c r="H225" s="1">
        <v>162.94999999999999</v>
      </c>
      <c r="I225" s="4">
        <f t="shared" si="6"/>
        <v>0.13782691071488987</v>
      </c>
      <c r="J225" s="11" t="str">
        <f t="shared" si="7"/>
        <v>Medium</v>
      </c>
    </row>
    <row r="226" spans="1:10" x14ac:dyDescent="0.3">
      <c r="A226" s="1" t="s">
        <v>246</v>
      </c>
      <c r="B226" s="2">
        <v>46118</v>
      </c>
      <c r="C226" s="3" t="s">
        <v>16</v>
      </c>
      <c r="D226" s="1" t="s">
        <v>20</v>
      </c>
      <c r="E226" s="1" t="s">
        <v>14</v>
      </c>
      <c r="F226" s="1">
        <v>6</v>
      </c>
      <c r="G226" s="1">
        <v>50173.39</v>
      </c>
      <c r="H226" s="1">
        <v>9494.64</v>
      </c>
      <c r="I226" s="4">
        <f t="shared" si="6"/>
        <v>0.18923656543837281</v>
      </c>
      <c r="J226" s="11" t="str">
        <f t="shared" si="7"/>
        <v>High</v>
      </c>
    </row>
    <row r="227" spans="1:10" x14ac:dyDescent="0.3">
      <c r="A227" s="1" t="s">
        <v>247</v>
      </c>
      <c r="B227" s="2">
        <v>46070</v>
      </c>
      <c r="C227" s="3" t="s">
        <v>12</v>
      </c>
      <c r="D227" s="1" t="s">
        <v>9</v>
      </c>
      <c r="E227" s="1" t="s">
        <v>10</v>
      </c>
      <c r="F227" s="1">
        <v>9</v>
      </c>
      <c r="G227" s="1">
        <v>16176.98</v>
      </c>
      <c r="H227" s="1">
        <v>1944.48</v>
      </c>
      <c r="I227" s="4">
        <f t="shared" si="6"/>
        <v>0.12020043296091112</v>
      </c>
      <c r="J227" s="11" t="str">
        <f t="shared" si="7"/>
        <v>High</v>
      </c>
    </row>
    <row r="228" spans="1:10" x14ac:dyDescent="0.3">
      <c r="A228" s="1" t="s">
        <v>248</v>
      </c>
      <c r="B228" s="2">
        <v>46088</v>
      </c>
      <c r="C228" s="3" t="s">
        <v>24</v>
      </c>
      <c r="D228" s="1" t="s">
        <v>17</v>
      </c>
      <c r="E228" s="1" t="s">
        <v>18</v>
      </c>
      <c r="F228" s="1">
        <v>2</v>
      </c>
      <c r="G228" s="1">
        <v>19574.759999999998</v>
      </c>
      <c r="H228" s="1">
        <v>3125.67</v>
      </c>
      <c r="I228" s="4">
        <f t="shared" si="6"/>
        <v>0.15967858609760735</v>
      </c>
      <c r="J228" s="11" t="str">
        <f t="shared" si="7"/>
        <v>High</v>
      </c>
    </row>
    <row r="229" spans="1:10" x14ac:dyDescent="0.3">
      <c r="A229" s="1" t="s">
        <v>249</v>
      </c>
      <c r="B229" s="2">
        <v>46086</v>
      </c>
      <c r="C229" s="3" t="s">
        <v>16</v>
      </c>
      <c r="D229" s="1" t="s">
        <v>20</v>
      </c>
      <c r="E229" s="1" t="s">
        <v>14</v>
      </c>
      <c r="F229" s="1">
        <v>10</v>
      </c>
      <c r="G229" s="1">
        <v>43300.24</v>
      </c>
      <c r="H229" s="1">
        <v>5947.49</v>
      </c>
      <c r="I229" s="4">
        <f t="shared" si="6"/>
        <v>0.13735466593256759</v>
      </c>
      <c r="J229" s="11" t="str">
        <f t="shared" si="7"/>
        <v>High</v>
      </c>
    </row>
    <row r="230" spans="1:10" x14ac:dyDescent="0.3">
      <c r="A230" s="1" t="s">
        <v>250</v>
      </c>
      <c r="B230" s="2">
        <v>46056</v>
      </c>
      <c r="C230" s="3" t="s">
        <v>12</v>
      </c>
      <c r="D230" s="1" t="s">
        <v>29</v>
      </c>
      <c r="E230" s="1" t="s">
        <v>18</v>
      </c>
      <c r="F230" s="1">
        <v>9</v>
      </c>
      <c r="G230" s="1">
        <v>9039.06</v>
      </c>
      <c r="H230" s="1">
        <v>1701.7</v>
      </c>
      <c r="I230" s="4">
        <f t="shared" si="6"/>
        <v>0.18826072622595713</v>
      </c>
      <c r="J230" s="11" t="str">
        <f t="shared" si="7"/>
        <v>High</v>
      </c>
    </row>
    <row r="231" spans="1:10" x14ac:dyDescent="0.3">
      <c r="A231" s="1" t="s">
        <v>251</v>
      </c>
      <c r="B231" s="2">
        <v>46033</v>
      </c>
      <c r="C231" s="3" t="s">
        <v>24</v>
      </c>
      <c r="D231" s="1" t="s">
        <v>22</v>
      </c>
      <c r="E231" s="1" t="s">
        <v>10</v>
      </c>
      <c r="F231" s="1">
        <v>5</v>
      </c>
      <c r="G231" s="1">
        <v>21780.89</v>
      </c>
      <c r="H231" s="1">
        <v>4435.45</v>
      </c>
      <c r="I231" s="4">
        <f t="shared" si="6"/>
        <v>0.20363952069910826</v>
      </c>
      <c r="J231" s="11" t="str">
        <f t="shared" si="7"/>
        <v>High</v>
      </c>
    </row>
    <row r="232" spans="1:10" x14ac:dyDescent="0.3">
      <c r="A232" s="1" t="s">
        <v>252</v>
      </c>
      <c r="B232" s="2">
        <v>46142</v>
      </c>
      <c r="C232" s="3" t="s">
        <v>8</v>
      </c>
      <c r="D232" s="1" t="s">
        <v>20</v>
      </c>
      <c r="E232" s="1" t="s">
        <v>14</v>
      </c>
      <c r="F232" s="1">
        <v>10</v>
      </c>
      <c r="G232" s="1">
        <v>50374.33</v>
      </c>
      <c r="H232" s="1">
        <v>5842.38</v>
      </c>
      <c r="I232" s="4">
        <f t="shared" si="6"/>
        <v>0.11597930930297237</v>
      </c>
      <c r="J232" s="11" t="str">
        <f t="shared" si="7"/>
        <v>High</v>
      </c>
    </row>
    <row r="233" spans="1:10" x14ac:dyDescent="0.3">
      <c r="A233" s="1" t="s">
        <v>253</v>
      </c>
      <c r="B233" s="2">
        <v>46099</v>
      </c>
      <c r="C233" s="3" t="s">
        <v>16</v>
      </c>
      <c r="D233" s="1" t="s">
        <v>13</v>
      </c>
      <c r="E233" s="1" t="s">
        <v>14</v>
      </c>
      <c r="F233" s="1">
        <v>7</v>
      </c>
      <c r="G233" s="1">
        <v>39077.72</v>
      </c>
      <c r="H233" s="1">
        <v>2518.73</v>
      </c>
      <c r="I233" s="4">
        <f t="shared" si="6"/>
        <v>6.4454374513149684E-2</v>
      </c>
      <c r="J233" s="11" t="str">
        <f t="shared" si="7"/>
        <v>High</v>
      </c>
    </row>
    <row r="234" spans="1:10" x14ac:dyDescent="0.3">
      <c r="A234" s="1" t="s">
        <v>254</v>
      </c>
      <c r="B234" s="2">
        <v>46107</v>
      </c>
      <c r="C234" s="3" t="s">
        <v>8</v>
      </c>
      <c r="D234" s="1" t="s">
        <v>17</v>
      </c>
      <c r="E234" s="1" t="s">
        <v>18</v>
      </c>
      <c r="F234" s="1">
        <v>8</v>
      </c>
      <c r="G234" s="1">
        <v>36719.17</v>
      </c>
      <c r="H234" s="1">
        <v>8824.08</v>
      </c>
      <c r="I234" s="4">
        <f t="shared" si="6"/>
        <v>0.2403126214454194</v>
      </c>
      <c r="J234" s="11" t="str">
        <f t="shared" si="7"/>
        <v>High</v>
      </c>
    </row>
    <row r="235" spans="1:10" x14ac:dyDescent="0.3">
      <c r="A235" s="1" t="s">
        <v>255</v>
      </c>
      <c r="B235" s="2">
        <v>46096</v>
      </c>
      <c r="C235" s="3" t="s">
        <v>24</v>
      </c>
      <c r="D235" s="1" t="s">
        <v>22</v>
      </c>
      <c r="E235" s="1" t="s">
        <v>10</v>
      </c>
      <c r="F235" s="1">
        <v>6</v>
      </c>
      <c r="G235" s="1">
        <v>28410.76</v>
      </c>
      <c r="H235" s="1">
        <v>2755.77</v>
      </c>
      <c r="I235" s="4">
        <f t="shared" si="6"/>
        <v>9.6997405208449197E-2</v>
      </c>
      <c r="J235" s="11" t="str">
        <f t="shared" si="7"/>
        <v>High</v>
      </c>
    </row>
    <row r="236" spans="1:10" x14ac:dyDescent="0.3">
      <c r="A236" s="1" t="s">
        <v>256</v>
      </c>
      <c r="B236" s="2">
        <v>46046</v>
      </c>
      <c r="C236" s="3" t="s">
        <v>24</v>
      </c>
      <c r="D236" s="1" t="s">
        <v>22</v>
      </c>
      <c r="E236" s="1" t="s">
        <v>10</v>
      </c>
      <c r="F236" s="1">
        <v>10</v>
      </c>
      <c r="G236" s="1">
        <v>35958.870000000003</v>
      </c>
      <c r="H236" s="1">
        <v>8375.25</v>
      </c>
      <c r="I236" s="4">
        <f t="shared" si="6"/>
        <v>0.23291193521932138</v>
      </c>
      <c r="J236" s="11" t="str">
        <f t="shared" si="7"/>
        <v>High</v>
      </c>
    </row>
    <row r="237" spans="1:10" x14ac:dyDescent="0.3">
      <c r="A237" s="1" t="s">
        <v>257</v>
      </c>
      <c r="B237" s="2">
        <v>46087</v>
      </c>
      <c r="C237" s="3" t="s">
        <v>16</v>
      </c>
      <c r="D237" s="1" t="s">
        <v>32</v>
      </c>
      <c r="E237" s="1" t="s">
        <v>14</v>
      </c>
      <c r="F237" s="1">
        <v>9</v>
      </c>
      <c r="G237" s="1">
        <v>32261.71</v>
      </c>
      <c r="H237" s="1">
        <v>7722.13</v>
      </c>
      <c r="I237" s="4">
        <f t="shared" si="6"/>
        <v>0.2393589800416655</v>
      </c>
      <c r="J237" s="11" t="str">
        <f t="shared" si="7"/>
        <v>High</v>
      </c>
    </row>
    <row r="238" spans="1:10" x14ac:dyDescent="0.3">
      <c r="A238" s="1" t="s">
        <v>258</v>
      </c>
      <c r="B238" s="2">
        <v>46158</v>
      </c>
      <c r="C238" s="3" t="s">
        <v>12</v>
      </c>
      <c r="D238" s="1" t="s">
        <v>29</v>
      </c>
      <c r="E238" s="1" t="s">
        <v>18</v>
      </c>
      <c r="F238" s="1">
        <v>1</v>
      </c>
      <c r="G238" s="1">
        <v>22683.49</v>
      </c>
      <c r="H238" s="1">
        <v>5631.93</v>
      </c>
      <c r="I238" s="4">
        <f t="shared" si="6"/>
        <v>0.24828322273159906</v>
      </c>
      <c r="J238" s="11" t="str">
        <f t="shared" si="7"/>
        <v>High</v>
      </c>
    </row>
    <row r="239" spans="1:10" x14ac:dyDescent="0.3">
      <c r="A239" s="1" t="s">
        <v>259</v>
      </c>
      <c r="B239" s="2">
        <v>46164</v>
      </c>
      <c r="C239" s="3" t="s">
        <v>12</v>
      </c>
      <c r="D239" s="1" t="s">
        <v>9</v>
      </c>
      <c r="E239" s="1" t="s">
        <v>10</v>
      </c>
      <c r="F239" s="1">
        <v>3</v>
      </c>
      <c r="G239" s="1">
        <v>50088.33</v>
      </c>
      <c r="H239" s="1">
        <v>7967.29</v>
      </c>
      <c r="I239" s="4">
        <f t="shared" si="6"/>
        <v>0.15906479613115471</v>
      </c>
      <c r="J239" s="11" t="str">
        <f t="shared" si="7"/>
        <v>High</v>
      </c>
    </row>
    <row r="240" spans="1:10" x14ac:dyDescent="0.3">
      <c r="A240" s="1" t="s">
        <v>260</v>
      </c>
      <c r="B240" s="2">
        <v>46137</v>
      </c>
      <c r="C240" s="3" t="s">
        <v>16</v>
      </c>
      <c r="D240" s="1" t="s">
        <v>20</v>
      </c>
      <c r="E240" s="1" t="s">
        <v>14</v>
      </c>
      <c r="F240" s="1">
        <v>9</v>
      </c>
      <c r="G240" s="1">
        <v>38260.699999999997</v>
      </c>
      <c r="H240" s="1">
        <v>5691.21</v>
      </c>
      <c r="I240" s="4">
        <f t="shared" si="6"/>
        <v>0.14874819331585676</v>
      </c>
      <c r="J240" s="11" t="str">
        <f t="shared" si="7"/>
        <v>High</v>
      </c>
    </row>
    <row r="241" spans="1:10" x14ac:dyDescent="0.3">
      <c r="A241" s="1" t="s">
        <v>261</v>
      </c>
      <c r="B241" s="2">
        <v>46178</v>
      </c>
      <c r="C241" s="3" t="s">
        <v>16</v>
      </c>
      <c r="D241" s="1" t="s">
        <v>32</v>
      </c>
      <c r="E241" s="1" t="s">
        <v>14</v>
      </c>
      <c r="F241" s="1">
        <v>9</v>
      </c>
      <c r="G241" s="1">
        <v>4322.3500000000004</v>
      </c>
      <c r="H241" s="1">
        <v>501.64</v>
      </c>
      <c r="I241" s="4">
        <f t="shared" si="6"/>
        <v>0.1160572373824424</v>
      </c>
      <c r="J241" s="11" t="str">
        <f t="shared" si="7"/>
        <v>Medium</v>
      </c>
    </row>
    <row r="242" spans="1:10" x14ac:dyDescent="0.3">
      <c r="A242" s="1" t="s">
        <v>262</v>
      </c>
      <c r="B242" s="2">
        <v>46135</v>
      </c>
      <c r="C242" s="3" t="s">
        <v>24</v>
      </c>
      <c r="D242" s="1" t="s">
        <v>29</v>
      </c>
      <c r="E242" s="1" t="s">
        <v>18</v>
      </c>
      <c r="F242" s="1">
        <v>5</v>
      </c>
      <c r="G242" s="1">
        <v>15443.51</v>
      </c>
      <c r="H242" s="1">
        <v>3574.32</v>
      </c>
      <c r="I242" s="4">
        <f t="shared" si="6"/>
        <v>0.23144479460951559</v>
      </c>
      <c r="J242" s="11" t="str">
        <f t="shared" si="7"/>
        <v>High</v>
      </c>
    </row>
    <row r="243" spans="1:10" x14ac:dyDescent="0.3">
      <c r="A243" s="1" t="s">
        <v>263</v>
      </c>
      <c r="B243" s="2">
        <v>46081</v>
      </c>
      <c r="C243" s="3" t="s">
        <v>24</v>
      </c>
      <c r="D243" s="1" t="s">
        <v>20</v>
      </c>
      <c r="E243" s="1" t="s">
        <v>14</v>
      </c>
      <c r="F243" s="1">
        <v>8</v>
      </c>
      <c r="G243" s="1">
        <v>4512.83</v>
      </c>
      <c r="H243" s="1">
        <v>794.44</v>
      </c>
      <c r="I243" s="4">
        <f t="shared" si="6"/>
        <v>0.17604031173343557</v>
      </c>
      <c r="J243" s="11" t="str">
        <f t="shared" si="7"/>
        <v>Medium</v>
      </c>
    </row>
    <row r="244" spans="1:10" x14ac:dyDescent="0.3">
      <c r="A244" s="1" t="s">
        <v>264</v>
      </c>
      <c r="B244" s="2">
        <v>46031</v>
      </c>
      <c r="C244" s="3" t="s">
        <v>24</v>
      </c>
      <c r="D244" s="1" t="s">
        <v>9</v>
      </c>
      <c r="E244" s="1" t="s">
        <v>10</v>
      </c>
      <c r="F244" s="1">
        <v>4</v>
      </c>
      <c r="G244" s="1">
        <v>43389.86</v>
      </c>
      <c r="H244" s="1">
        <v>5423.51</v>
      </c>
      <c r="I244" s="4">
        <f t="shared" si="6"/>
        <v>0.12499487207379789</v>
      </c>
      <c r="J244" s="11" t="str">
        <f t="shared" si="7"/>
        <v>High</v>
      </c>
    </row>
    <row r="245" spans="1:10" x14ac:dyDescent="0.3">
      <c r="A245" s="1" t="s">
        <v>265</v>
      </c>
      <c r="B245" s="2">
        <v>46148</v>
      </c>
      <c r="C245" s="3" t="s">
        <v>24</v>
      </c>
      <c r="D245" s="1" t="s">
        <v>29</v>
      </c>
      <c r="E245" s="1" t="s">
        <v>18</v>
      </c>
      <c r="F245" s="1">
        <v>9</v>
      </c>
      <c r="G245" s="1">
        <v>32353.55</v>
      </c>
      <c r="H245" s="1">
        <v>7791.96</v>
      </c>
      <c r="I245" s="4">
        <f t="shared" si="6"/>
        <v>0.24083786786921374</v>
      </c>
      <c r="J245" s="11" t="str">
        <f t="shared" si="7"/>
        <v>High</v>
      </c>
    </row>
    <row r="246" spans="1:10" x14ac:dyDescent="0.3">
      <c r="A246" s="1" t="s">
        <v>266</v>
      </c>
      <c r="B246" s="2">
        <v>46136</v>
      </c>
      <c r="C246" s="3" t="s">
        <v>24</v>
      </c>
      <c r="D246" s="1" t="s">
        <v>20</v>
      </c>
      <c r="E246" s="1" t="s">
        <v>14</v>
      </c>
      <c r="F246" s="1">
        <v>3</v>
      </c>
      <c r="G246" s="1">
        <v>47527.7</v>
      </c>
      <c r="H246" s="1">
        <v>7149.26</v>
      </c>
      <c r="I246" s="4">
        <f t="shared" si="6"/>
        <v>0.1504230164724992</v>
      </c>
      <c r="J246" s="11" t="str">
        <f t="shared" si="7"/>
        <v>High</v>
      </c>
    </row>
    <row r="247" spans="1:10" x14ac:dyDescent="0.3">
      <c r="A247" s="1" t="s">
        <v>267</v>
      </c>
      <c r="B247" s="2">
        <v>46060</v>
      </c>
      <c r="C247" s="3" t="s">
        <v>12</v>
      </c>
      <c r="D247" s="1" t="s">
        <v>32</v>
      </c>
      <c r="E247" s="1" t="s">
        <v>14</v>
      </c>
      <c r="F247" s="1">
        <v>6</v>
      </c>
      <c r="G247" s="1">
        <v>36011.040000000001</v>
      </c>
      <c r="H247" s="1">
        <v>8678.18</v>
      </c>
      <c r="I247" s="4">
        <f t="shared" si="6"/>
        <v>0.24098665298197441</v>
      </c>
      <c r="J247" s="11" t="str">
        <f t="shared" si="7"/>
        <v>High</v>
      </c>
    </row>
    <row r="248" spans="1:10" x14ac:dyDescent="0.3">
      <c r="A248" s="1" t="s">
        <v>268</v>
      </c>
      <c r="B248" s="2">
        <v>46151</v>
      </c>
      <c r="C248" s="3" t="s">
        <v>16</v>
      </c>
      <c r="D248" s="1" t="s">
        <v>17</v>
      </c>
      <c r="E248" s="1" t="s">
        <v>18</v>
      </c>
      <c r="F248" s="1">
        <v>8</v>
      </c>
      <c r="G248" s="1">
        <v>24805.040000000001</v>
      </c>
      <c r="H248" s="1">
        <v>2463.77</v>
      </c>
      <c r="I248" s="4">
        <f t="shared" si="6"/>
        <v>9.9325379035873351E-2</v>
      </c>
      <c r="J248" s="11" t="str">
        <f t="shared" si="7"/>
        <v>High</v>
      </c>
    </row>
    <row r="249" spans="1:10" x14ac:dyDescent="0.3">
      <c r="A249" s="1" t="s">
        <v>269</v>
      </c>
      <c r="B249" s="2">
        <v>46030</v>
      </c>
      <c r="C249" s="3" t="s">
        <v>24</v>
      </c>
      <c r="D249" s="1" t="s">
        <v>22</v>
      </c>
      <c r="E249" s="1" t="s">
        <v>10</v>
      </c>
      <c r="F249" s="1">
        <v>4</v>
      </c>
      <c r="G249" s="1">
        <v>12334.88</v>
      </c>
      <c r="H249" s="1">
        <v>1267.24</v>
      </c>
      <c r="I249" s="4">
        <f t="shared" si="6"/>
        <v>0.10273630550114797</v>
      </c>
      <c r="J249" s="11" t="str">
        <f t="shared" si="7"/>
        <v>High</v>
      </c>
    </row>
    <row r="250" spans="1:10" x14ac:dyDescent="0.3">
      <c r="A250" s="1" t="s">
        <v>270</v>
      </c>
      <c r="B250" s="2">
        <v>46190</v>
      </c>
      <c r="C250" s="3" t="s">
        <v>12</v>
      </c>
      <c r="D250" s="1" t="s">
        <v>9</v>
      </c>
      <c r="E250" s="1" t="s">
        <v>10</v>
      </c>
      <c r="F250" s="1">
        <v>1</v>
      </c>
      <c r="G250" s="1">
        <v>16952.21</v>
      </c>
      <c r="H250" s="1">
        <v>2796.9</v>
      </c>
      <c r="I250" s="4">
        <f t="shared" si="6"/>
        <v>0.16498733793411008</v>
      </c>
      <c r="J250" s="11" t="str">
        <f t="shared" si="7"/>
        <v>High</v>
      </c>
    </row>
    <row r="251" spans="1:10" x14ac:dyDescent="0.3">
      <c r="A251" s="1" t="s">
        <v>271</v>
      </c>
      <c r="B251" s="2">
        <v>46089</v>
      </c>
      <c r="C251" s="3" t="s">
        <v>16</v>
      </c>
      <c r="D251" s="1" t="s">
        <v>20</v>
      </c>
      <c r="E251" s="1" t="s">
        <v>14</v>
      </c>
      <c r="F251" s="1">
        <v>1</v>
      </c>
      <c r="G251" s="1">
        <v>1236.1199999999999</v>
      </c>
      <c r="H251" s="1">
        <v>162.05000000000001</v>
      </c>
      <c r="I251" s="4">
        <f t="shared" si="6"/>
        <v>0.13109568650292855</v>
      </c>
      <c r="J251" s="11" t="str">
        <f t="shared" si="7"/>
        <v>Medium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F57D-1541-4CEB-BA8A-F81166E9E197}">
  <dimension ref="A1:I12"/>
  <sheetViews>
    <sheetView workbookViewId="0">
      <selection activeCell="I22" sqref="I22"/>
    </sheetView>
  </sheetViews>
  <sheetFormatPr defaultRowHeight="14.4" x14ac:dyDescent="0.3"/>
  <cols>
    <col min="1" max="1" width="12.5546875" bestFit="1" customWidth="1"/>
    <col min="2" max="2" width="17.33203125" customWidth="1"/>
    <col min="3" max="3" width="5.88671875" bestFit="1" customWidth="1"/>
    <col min="4" max="4" width="6" bestFit="1" customWidth="1"/>
    <col min="5" max="5" width="10.77734375" bestFit="1" customWidth="1"/>
    <col min="6" max="6" width="11" bestFit="1" customWidth="1"/>
    <col min="8" max="8" width="12.5546875" bestFit="1" customWidth="1"/>
    <col min="9" max="9" width="16.44140625" bestFit="1" customWidth="1"/>
  </cols>
  <sheetData>
    <row r="1" spans="1:9" ht="15.6" x14ac:dyDescent="0.3">
      <c r="A1" s="12" t="s">
        <v>283</v>
      </c>
      <c r="B1" s="12"/>
      <c r="E1" s="13" t="s">
        <v>284</v>
      </c>
      <c r="F1" s="13"/>
      <c r="H1" s="12" t="s">
        <v>285</v>
      </c>
      <c r="I1" s="12"/>
    </row>
    <row r="3" spans="1:9" x14ac:dyDescent="0.3">
      <c r="A3" s="5" t="s">
        <v>2</v>
      </c>
      <c r="B3" t="s">
        <v>280</v>
      </c>
      <c r="E3" s="5" t="s">
        <v>282</v>
      </c>
      <c r="F3" t="s">
        <v>280</v>
      </c>
      <c r="H3" s="5" t="s">
        <v>281</v>
      </c>
      <c r="I3" t="s">
        <v>280</v>
      </c>
    </row>
    <row r="4" spans="1:9" x14ac:dyDescent="0.3">
      <c r="A4" s="6" t="s">
        <v>8</v>
      </c>
      <c r="B4">
        <v>1676328.7300000002</v>
      </c>
      <c r="E4" s="6" t="s">
        <v>20</v>
      </c>
      <c r="F4">
        <v>1095607.67</v>
      </c>
      <c r="H4" s="6" t="s">
        <v>274</v>
      </c>
      <c r="I4">
        <v>1133609.5699999998</v>
      </c>
    </row>
    <row r="5" spans="1:9" x14ac:dyDescent="0.3">
      <c r="A5" s="6" t="s">
        <v>12</v>
      </c>
      <c r="B5">
        <v>1551543.96</v>
      </c>
      <c r="E5" s="6" t="s">
        <v>9</v>
      </c>
      <c r="F5">
        <v>1026313.9299999999</v>
      </c>
      <c r="H5" s="6" t="s">
        <v>275</v>
      </c>
      <c r="I5">
        <v>1045865.8599999999</v>
      </c>
    </row>
    <row r="6" spans="1:9" x14ac:dyDescent="0.3">
      <c r="A6" s="6" t="s">
        <v>24</v>
      </c>
      <c r="B6">
        <v>2044096.4000000004</v>
      </c>
      <c r="E6" s="6" t="s">
        <v>13</v>
      </c>
      <c r="F6">
        <v>992427.57</v>
      </c>
      <c r="H6" s="6" t="s">
        <v>276</v>
      </c>
      <c r="I6">
        <v>1548560.27</v>
      </c>
    </row>
    <row r="7" spans="1:9" x14ac:dyDescent="0.3">
      <c r="A7" s="6" t="s">
        <v>16</v>
      </c>
      <c r="B7">
        <v>1898993.8900000004</v>
      </c>
      <c r="E7" s="6" t="s">
        <v>22</v>
      </c>
      <c r="F7">
        <v>986196.02</v>
      </c>
      <c r="H7" s="6" t="s">
        <v>277</v>
      </c>
      <c r="I7">
        <v>1341948.3299999998</v>
      </c>
    </row>
    <row r="8" spans="1:9" x14ac:dyDescent="0.3">
      <c r="A8" s="6" t="s">
        <v>273</v>
      </c>
      <c r="B8">
        <v>7170962.9800000014</v>
      </c>
      <c r="E8" s="6" t="s">
        <v>32</v>
      </c>
      <c r="F8">
        <v>896198.49999999988</v>
      </c>
      <c r="H8" s="6" t="s">
        <v>278</v>
      </c>
      <c r="I8">
        <v>1406257.8800000004</v>
      </c>
    </row>
    <row r="9" spans="1:9" x14ac:dyDescent="0.3">
      <c r="E9" s="6" t="s">
        <v>36</v>
      </c>
      <c r="F9">
        <v>776078.33</v>
      </c>
      <c r="H9" s="6" t="s">
        <v>279</v>
      </c>
      <c r="I9">
        <v>694721.07000000007</v>
      </c>
    </row>
    <row r="10" spans="1:9" x14ac:dyDescent="0.3">
      <c r="E10" s="6" t="s">
        <v>17</v>
      </c>
      <c r="F10">
        <v>701419.20000000007</v>
      </c>
      <c r="H10" s="6" t="s">
        <v>273</v>
      </c>
      <c r="I10">
        <v>7170962.9800000004</v>
      </c>
    </row>
    <row r="11" spans="1:9" x14ac:dyDescent="0.3">
      <c r="E11" s="6" t="s">
        <v>29</v>
      </c>
      <c r="F11">
        <v>696721.76</v>
      </c>
    </row>
    <row r="12" spans="1:9" x14ac:dyDescent="0.3">
      <c r="E12" s="6" t="s">
        <v>273</v>
      </c>
      <c r="F12">
        <v>7170962.9800000004</v>
      </c>
    </row>
  </sheetData>
  <mergeCells count="3">
    <mergeCell ref="A1:B1"/>
    <mergeCell ref="E1:F1"/>
    <mergeCell ref="H1:I1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C108-F658-4E11-AD10-165C8D2E3D31}">
  <dimension ref="A3:D4"/>
  <sheetViews>
    <sheetView workbookViewId="0">
      <selection activeCell="D9" sqref="D9"/>
    </sheetView>
  </sheetViews>
  <sheetFormatPr defaultRowHeight="14.4" x14ac:dyDescent="0.3"/>
  <cols>
    <col min="1" max="1" width="16.44140625" bestFit="1" customWidth="1"/>
    <col min="2" max="2" width="12.109375" bestFit="1" customWidth="1"/>
    <col min="3" max="3" width="21.88671875" bestFit="1" customWidth="1"/>
    <col min="4" max="4" width="14.88671875" bestFit="1" customWidth="1"/>
    <col min="5" max="22" width="8" bestFit="1" customWidth="1"/>
    <col min="23" max="23" width="7" bestFit="1" customWidth="1"/>
    <col min="24" max="41" width="8" bestFit="1" customWidth="1"/>
    <col min="42" max="42" width="7" bestFit="1" customWidth="1"/>
    <col min="43" max="43" width="8" bestFit="1" customWidth="1"/>
    <col min="44" max="49" width="9" bestFit="1" customWidth="1"/>
    <col min="50" max="50" width="8" bestFit="1" customWidth="1"/>
    <col min="51" max="52" width="9" bestFit="1" customWidth="1"/>
    <col min="53" max="53" width="8" bestFit="1" customWidth="1"/>
    <col min="54" max="62" width="9" bestFit="1" customWidth="1"/>
    <col min="63" max="63" width="8" bestFit="1" customWidth="1"/>
    <col min="64" max="64" width="9" bestFit="1" customWidth="1"/>
    <col min="65" max="65" width="6" bestFit="1" customWidth="1"/>
    <col min="66" max="66" width="8" bestFit="1" customWidth="1"/>
    <col min="67" max="79" width="9" bestFit="1" customWidth="1"/>
    <col min="80" max="80" width="8" bestFit="1" customWidth="1"/>
    <col min="81" max="87" width="9" bestFit="1" customWidth="1"/>
    <col min="88" max="88" width="6" bestFit="1" customWidth="1"/>
    <col min="89" max="91" width="9" bestFit="1" customWidth="1"/>
    <col min="92" max="92" width="8" bestFit="1" customWidth="1"/>
    <col min="93" max="104" width="9" bestFit="1" customWidth="1"/>
    <col min="105" max="105" width="8" bestFit="1" customWidth="1"/>
    <col min="106" max="106" width="9" bestFit="1" customWidth="1"/>
    <col min="107" max="107" width="8" bestFit="1" customWidth="1"/>
    <col min="108" max="129" width="9" bestFit="1" customWidth="1"/>
    <col min="130" max="130" width="8" bestFit="1" customWidth="1"/>
    <col min="131" max="160" width="9" bestFit="1" customWidth="1"/>
    <col min="161" max="162" width="8" bestFit="1" customWidth="1"/>
    <col min="163" max="163" width="9" bestFit="1" customWidth="1"/>
    <col min="164" max="165" width="8" bestFit="1" customWidth="1"/>
    <col min="166" max="174" width="9" bestFit="1" customWidth="1"/>
    <col min="175" max="175" width="8" bestFit="1" customWidth="1"/>
    <col min="176" max="178" width="9" bestFit="1" customWidth="1"/>
    <col min="179" max="179" width="8" bestFit="1" customWidth="1"/>
    <col min="180" max="185" width="9" bestFit="1" customWidth="1"/>
    <col min="186" max="186" width="8" bestFit="1" customWidth="1"/>
    <col min="187" max="188" width="9" bestFit="1" customWidth="1"/>
    <col min="189" max="189" width="8" bestFit="1" customWidth="1"/>
    <col min="190" max="195" width="9" bestFit="1" customWidth="1"/>
    <col min="196" max="197" width="8" bestFit="1" customWidth="1"/>
    <col min="198" max="201" width="9" bestFit="1" customWidth="1"/>
    <col min="202" max="202" width="8" bestFit="1" customWidth="1"/>
    <col min="203" max="213" width="9" bestFit="1" customWidth="1"/>
    <col min="214" max="214" width="8" bestFit="1" customWidth="1"/>
    <col min="215" max="224" width="9" bestFit="1" customWidth="1"/>
    <col min="225" max="225" width="6" bestFit="1" customWidth="1"/>
    <col min="226" max="248" width="9" bestFit="1" customWidth="1"/>
    <col min="249" max="249" width="11" bestFit="1" customWidth="1"/>
  </cols>
  <sheetData>
    <row r="3" spans="1:4" x14ac:dyDescent="0.3">
      <c r="A3" s="15" t="s">
        <v>288</v>
      </c>
      <c r="B3" s="15" t="s">
        <v>290</v>
      </c>
      <c r="C3" s="15" t="s">
        <v>291</v>
      </c>
      <c r="D3" s="15" t="s">
        <v>292</v>
      </c>
    </row>
    <row r="4" spans="1:4" x14ac:dyDescent="0.3">
      <c r="A4" s="15">
        <v>7170962.9799999995</v>
      </c>
      <c r="B4" s="15">
        <v>1132313.0799999991</v>
      </c>
      <c r="C4" s="16">
        <v>0.15300409924934141</v>
      </c>
      <c r="D4" s="15">
        <v>1361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3652-590A-4A06-9918-1C601F52CC33}">
  <dimension ref="A2:B7"/>
  <sheetViews>
    <sheetView tabSelected="1" workbookViewId="0">
      <selection activeCell="D21" sqref="D21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5" width="10" bestFit="1" customWidth="1"/>
    <col min="6" max="6" width="11" bestFit="1" customWidth="1"/>
    <col min="7" max="250" width="15.5546875" bestFit="1" customWidth="1"/>
    <col min="251" max="251" width="10.77734375" bestFit="1" customWidth="1"/>
  </cols>
  <sheetData>
    <row r="2" spans="1:2" x14ac:dyDescent="0.3">
      <c r="A2" s="5" t="s">
        <v>289</v>
      </c>
      <c r="B2" t="s">
        <v>290</v>
      </c>
    </row>
    <row r="3" spans="1:2" x14ac:dyDescent="0.3">
      <c r="A3" s="6" t="s">
        <v>8</v>
      </c>
      <c r="B3" s="14">
        <v>250614.93</v>
      </c>
    </row>
    <row r="4" spans="1:2" x14ac:dyDescent="0.3">
      <c r="A4" s="6" t="s">
        <v>12</v>
      </c>
      <c r="B4" s="14">
        <v>269735.19000000006</v>
      </c>
    </row>
    <row r="5" spans="1:2" x14ac:dyDescent="0.3">
      <c r="A5" s="6" t="s">
        <v>24</v>
      </c>
      <c r="B5" s="14">
        <v>302486.83000000007</v>
      </c>
    </row>
    <row r="6" spans="1:2" x14ac:dyDescent="0.3">
      <c r="A6" s="6" t="s">
        <v>16</v>
      </c>
      <c r="B6" s="14">
        <v>309476.13000000006</v>
      </c>
    </row>
    <row r="7" spans="1:2" x14ac:dyDescent="0.3">
      <c r="A7" s="6" t="s">
        <v>273</v>
      </c>
      <c r="B7" s="14">
        <v>1132313.0800000003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Trend Analysis </vt:lpstr>
      <vt:lpstr>KPI Summary</vt:lpstr>
      <vt:lpstr>Advanced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KHANDAKAR RESHMA KHATUN</cp:lastModifiedBy>
  <dcterms:created xsi:type="dcterms:W3CDTF">2026-06-03T03:58:44Z</dcterms:created>
  <dcterms:modified xsi:type="dcterms:W3CDTF">2026-06-18T15:30:44Z</dcterms:modified>
</cp:coreProperties>
</file>